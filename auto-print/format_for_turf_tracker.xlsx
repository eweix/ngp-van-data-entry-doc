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ow/sourcecode/github-personal/ngp-van-data-entry-doc/auto-print/"/>
    </mc:Choice>
  </mc:AlternateContent>
  <xr:revisionPtr revIDLastSave="0" documentId="13_ncr:1_{8CC14234-B8A2-D94E-AC60-46A53E24DEDF}" xr6:coauthVersionLast="47" xr6:coauthVersionMax="47" xr10:uidLastSave="{00000000-0000-0000-0000-000000000000}"/>
  <bookViews>
    <workbookView xWindow="0" yWindow="680" windowWidth="30240" windowHeight="17160" xr2:uid="{DA986697-404D-AD4E-9614-1C1B5DD93203}"/>
  </bookViews>
  <sheets>
    <sheet name="Fixup" sheetId="3" r:id="rId1"/>
    <sheet name="Prio" sheetId="6" r:id="rId2"/>
    <sheet name="Misname" sheetId="4" r:id="rId3"/>
    <sheet name="Sort" sheetId="7" r:id="rId4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6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K137" i="3"/>
  <c r="K138" i="3"/>
  <c r="K139" i="3"/>
  <c r="L137" i="3"/>
  <c r="L138" i="3"/>
  <c r="L139" i="3"/>
  <c r="H137" i="3"/>
  <c r="H138" i="3"/>
  <c r="J138" i="3" s="1"/>
  <c r="I138" i="3" s="1"/>
  <c r="H139" i="3"/>
  <c r="H4" i="3"/>
  <c r="H5" i="3"/>
  <c r="H6" i="3"/>
  <c r="J6" i="3" s="1"/>
  <c r="I6" i="3" s="1"/>
  <c r="H7" i="3"/>
  <c r="J7" i="3" s="1"/>
  <c r="I7" i="3" s="1"/>
  <c r="H8" i="3"/>
  <c r="H9" i="3"/>
  <c r="J9" i="3" s="1"/>
  <c r="I9" i="3" s="1"/>
  <c r="H10" i="3"/>
  <c r="H11" i="3"/>
  <c r="H12" i="3"/>
  <c r="H13" i="3"/>
  <c r="H14" i="3"/>
  <c r="H15" i="3"/>
  <c r="H16" i="3"/>
  <c r="H17" i="3"/>
  <c r="H18" i="3"/>
  <c r="H19" i="3"/>
  <c r="H20" i="3"/>
  <c r="H21" i="3"/>
  <c r="J21" i="3" s="1"/>
  <c r="I21" i="3" s="1"/>
  <c r="H22" i="3"/>
  <c r="H23" i="3"/>
  <c r="J23" i="3" s="1"/>
  <c r="I23" i="3" s="1"/>
  <c r="H24" i="3"/>
  <c r="H25" i="3"/>
  <c r="H26" i="3"/>
  <c r="H27" i="3"/>
  <c r="H28" i="3"/>
  <c r="H29" i="3"/>
  <c r="H30" i="3"/>
  <c r="H31" i="3"/>
  <c r="J31" i="3" s="1"/>
  <c r="I31" i="3" s="1"/>
  <c r="H32" i="3"/>
  <c r="H33" i="3"/>
  <c r="H34" i="3"/>
  <c r="J34" i="3" s="1"/>
  <c r="I34" i="3" s="1"/>
  <c r="H35" i="3"/>
  <c r="J35" i="3" s="1"/>
  <c r="I35" i="3" s="1"/>
  <c r="H36" i="3"/>
  <c r="H37" i="3"/>
  <c r="H38" i="3"/>
  <c r="J38" i="3" s="1"/>
  <c r="I38" i="3" s="1"/>
  <c r="H39" i="3"/>
  <c r="J39" i="3" s="1"/>
  <c r="I39" i="3" s="1"/>
  <c r="H40" i="3"/>
  <c r="H41" i="3"/>
  <c r="H42" i="3"/>
  <c r="H43" i="3"/>
  <c r="J43" i="3" s="1"/>
  <c r="I43" i="3" s="1"/>
  <c r="H44" i="3"/>
  <c r="J44" i="3" s="1"/>
  <c r="I44" i="3" s="1"/>
  <c r="H45" i="3"/>
  <c r="H46" i="3"/>
  <c r="H47" i="3"/>
  <c r="J47" i="3" s="1"/>
  <c r="I47" i="3" s="1"/>
  <c r="H48" i="3"/>
  <c r="J48" i="3" s="1"/>
  <c r="I48" i="3" s="1"/>
  <c r="H49" i="3"/>
  <c r="H50" i="3"/>
  <c r="J50" i="3" s="1"/>
  <c r="I50" i="3" s="1"/>
  <c r="H51" i="3"/>
  <c r="H52" i="3"/>
  <c r="J52" i="3" s="1"/>
  <c r="I52" i="3" s="1"/>
  <c r="H53" i="3"/>
  <c r="J53" i="3" s="1"/>
  <c r="I53" i="3" s="1"/>
  <c r="H54" i="3"/>
  <c r="J54" i="3" s="1"/>
  <c r="I54" i="3" s="1"/>
  <c r="H55" i="3"/>
  <c r="J55" i="3" s="1"/>
  <c r="I55" i="3" s="1"/>
  <c r="H56" i="3"/>
  <c r="J56" i="3" s="1"/>
  <c r="I56" i="3" s="1"/>
  <c r="H57" i="3"/>
  <c r="J57" i="3" s="1"/>
  <c r="I57" i="3" s="1"/>
  <c r="H58" i="3"/>
  <c r="H59" i="3"/>
  <c r="J59" i="3" s="1"/>
  <c r="I59" i="3" s="1"/>
  <c r="H60" i="3"/>
  <c r="H61" i="3"/>
  <c r="H62" i="3"/>
  <c r="J62" i="3" s="1"/>
  <c r="I62" i="3" s="1"/>
  <c r="H63" i="3"/>
  <c r="J63" i="3" s="1"/>
  <c r="I63" i="3" s="1"/>
  <c r="H64" i="3"/>
  <c r="H65" i="3"/>
  <c r="H66" i="3"/>
  <c r="H67" i="3"/>
  <c r="J67" i="3" s="1"/>
  <c r="I67" i="3" s="1"/>
  <c r="H68" i="3"/>
  <c r="J68" i="3" s="1"/>
  <c r="I68" i="3" s="1"/>
  <c r="H69" i="3"/>
  <c r="J69" i="3" s="1"/>
  <c r="I69" i="3" s="1"/>
  <c r="H70" i="3"/>
  <c r="H71" i="3"/>
  <c r="J71" i="3" s="1"/>
  <c r="I71" i="3" s="1"/>
  <c r="H72" i="3"/>
  <c r="J72" i="3" s="1"/>
  <c r="I72" i="3" s="1"/>
  <c r="H73" i="3"/>
  <c r="H74" i="3"/>
  <c r="J74" i="3" s="1"/>
  <c r="I74" i="3" s="1"/>
  <c r="H75" i="3"/>
  <c r="H76" i="3"/>
  <c r="J76" i="3" s="1"/>
  <c r="I76" i="3" s="1"/>
  <c r="H77" i="3"/>
  <c r="H78" i="3"/>
  <c r="H79" i="3"/>
  <c r="J79" i="3" s="1"/>
  <c r="I79" i="3" s="1"/>
  <c r="H80" i="3"/>
  <c r="H81" i="3"/>
  <c r="J81" i="3" s="1"/>
  <c r="I81" i="3" s="1"/>
  <c r="H82" i="3"/>
  <c r="H83" i="3"/>
  <c r="J83" i="3" s="1"/>
  <c r="I83" i="3" s="1"/>
  <c r="H84" i="3"/>
  <c r="H85" i="3"/>
  <c r="H86" i="3"/>
  <c r="J86" i="3" s="1"/>
  <c r="I86" i="3" s="1"/>
  <c r="H87" i="3"/>
  <c r="H88" i="3"/>
  <c r="J88" i="3" s="1"/>
  <c r="I88" i="3" s="1"/>
  <c r="H89" i="3"/>
  <c r="H90" i="3"/>
  <c r="H91" i="3"/>
  <c r="J91" i="3" s="1"/>
  <c r="I91" i="3" s="1"/>
  <c r="H92" i="3"/>
  <c r="J92" i="3" s="1"/>
  <c r="I92" i="3" s="1"/>
  <c r="H93" i="3"/>
  <c r="J93" i="3" s="1"/>
  <c r="I93" i="3" s="1"/>
  <c r="H94" i="3"/>
  <c r="H95" i="3"/>
  <c r="J95" i="3" s="1"/>
  <c r="I95" i="3" s="1"/>
  <c r="H96" i="3"/>
  <c r="J96" i="3" s="1"/>
  <c r="I96" i="3" s="1"/>
  <c r="H97" i="3"/>
  <c r="H98" i="3"/>
  <c r="H99" i="3"/>
  <c r="H100" i="3"/>
  <c r="H101" i="3"/>
  <c r="H102" i="3"/>
  <c r="J102" i="3" s="1"/>
  <c r="I102" i="3" s="1"/>
  <c r="H103" i="3"/>
  <c r="J103" i="3" s="1"/>
  <c r="I103" i="3" s="1"/>
  <c r="H104" i="3"/>
  <c r="J104" i="3" s="1"/>
  <c r="I104" i="3" s="1"/>
  <c r="H105" i="3"/>
  <c r="J105" i="3" s="1"/>
  <c r="I105" i="3" s="1"/>
  <c r="H106" i="3"/>
  <c r="H107" i="3"/>
  <c r="J107" i="3" s="1"/>
  <c r="I107" i="3" s="1"/>
  <c r="H108" i="3"/>
  <c r="J108" i="3" s="1"/>
  <c r="I108" i="3" s="1"/>
  <c r="H109" i="3"/>
  <c r="H110" i="3"/>
  <c r="J110" i="3" s="1"/>
  <c r="I110" i="3" s="1"/>
  <c r="H111" i="3"/>
  <c r="J111" i="3" s="1"/>
  <c r="I111" i="3" s="1"/>
  <c r="H112" i="3"/>
  <c r="J112" i="3" s="1"/>
  <c r="I112" i="3" s="1"/>
  <c r="H113" i="3"/>
  <c r="H114" i="3"/>
  <c r="J114" i="3" s="1"/>
  <c r="I114" i="3" s="1"/>
  <c r="H115" i="3"/>
  <c r="J115" i="3" s="1"/>
  <c r="I115" i="3" s="1"/>
  <c r="H116" i="3"/>
  <c r="J116" i="3" s="1"/>
  <c r="I116" i="3" s="1"/>
  <c r="H117" i="3"/>
  <c r="J117" i="3" s="1"/>
  <c r="I117" i="3" s="1"/>
  <c r="H118" i="3"/>
  <c r="H119" i="3"/>
  <c r="J119" i="3" s="1"/>
  <c r="I119" i="3" s="1"/>
  <c r="H120" i="3"/>
  <c r="H121" i="3"/>
  <c r="H122" i="3"/>
  <c r="J122" i="3" s="1"/>
  <c r="I122" i="3" s="1"/>
  <c r="H123" i="3"/>
  <c r="H124" i="3"/>
  <c r="J124" i="3" s="1"/>
  <c r="I124" i="3" s="1"/>
  <c r="H125" i="3"/>
  <c r="J125" i="3" s="1"/>
  <c r="I125" i="3" s="1"/>
  <c r="H126" i="3"/>
  <c r="H127" i="3"/>
  <c r="J127" i="3" s="1"/>
  <c r="I127" i="3" s="1"/>
  <c r="H128" i="3"/>
  <c r="J128" i="3" s="1"/>
  <c r="I128" i="3" s="1"/>
  <c r="H129" i="3"/>
  <c r="J129" i="3" s="1"/>
  <c r="I129" i="3" s="1"/>
  <c r="H130" i="3"/>
  <c r="J130" i="3" s="1"/>
  <c r="I130" i="3" s="1"/>
  <c r="H131" i="3"/>
  <c r="J131" i="3" s="1"/>
  <c r="I131" i="3" s="1"/>
  <c r="H132" i="3"/>
  <c r="H133" i="3"/>
  <c r="J133" i="3" s="1"/>
  <c r="I133" i="3" s="1"/>
  <c r="H134" i="3"/>
  <c r="J134" i="3" s="1"/>
  <c r="I134" i="3" s="1"/>
  <c r="H135" i="3"/>
  <c r="H136" i="3"/>
  <c r="J136" i="3" s="1"/>
  <c r="I136" i="3" s="1"/>
  <c r="H3" i="3"/>
  <c r="J3" i="3" s="1"/>
  <c r="I3" i="3" s="1"/>
  <c r="K4" i="3"/>
  <c r="L4" i="3"/>
  <c r="K5" i="3"/>
  <c r="L5" i="3"/>
  <c r="K6" i="3"/>
  <c r="L6" i="3"/>
  <c r="K7" i="3"/>
  <c r="L7" i="3"/>
  <c r="K8" i="3"/>
  <c r="L8" i="3"/>
  <c r="K9" i="3"/>
  <c r="L9" i="3"/>
  <c r="K10" i="3"/>
  <c r="L10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K18" i="3"/>
  <c r="L18" i="3"/>
  <c r="K19" i="3"/>
  <c r="L19" i="3"/>
  <c r="K20" i="3"/>
  <c r="L20" i="3"/>
  <c r="K21" i="3"/>
  <c r="L21" i="3"/>
  <c r="K22" i="3"/>
  <c r="L22" i="3"/>
  <c r="K23" i="3"/>
  <c r="L23" i="3"/>
  <c r="K24" i="3"/>
  <c r="L24" i="3"/>
  <c r="K25" i="3"/>
  <c r="L25" i="3"/>
  <c r="K26" i="3"/>
  <c r="L26" i="3"/>
  <c r="K27" i="3"/>
  <c r="L27" i="3"/>
  <c r="K28" i="3"/>
  <c r="L28" i="3"/>
  <c r="K29" i="3"/>
  <c r="L29" i="3"/>
  <c r="K30" i="3"/>
  <c r="L30" i="3"/>
  <c r="K31" i="3"/>
  <c r="L31" i="3"/>
  <c r="K32" i="3"/>
  <c r="L32" i="3"/>
  <c r="K33" i="3"/>
  <c r="L33" i="3"/>
  <c r="K34" i="3"/>
  <c r="L34" i="3"/>
  <c r="K35" i="3"/>
  <c r="L35" i="3"/>
  <c r="K36" i="3"/>
  <c r="L36" i="3"/>
  <c r="K37" i="3"/>
  <c r="L37" i="3"/>
  <c r="K38" i="3"/>
  <c r="L38" i="3"/>
  <c r="K39" i="3"/>
  <c r="L39" i="3"/>
  <c r="K40" i="3"/>
  <c r="L40" i="3"/>
  <c r="K41" i="3"/>
  <c r="L41" i="3"/>
  <c r="K42" i="3"/>
  <c r="L42" i="3"/>
  <c r="K43" i="3"/>
  <c r="L43" i="3"/>
  <c r="K44" i="3"/>
  <c r="L44" i="3"/>
  <c r="K45" i="3"/>
  <c r="L45" i="3"/>
  <c r="K46" i="3"/>
  <c r="L46" i="3"/>
  <c r="K47" i="3"/>
  <c r="L47" i="3"/>
  <c r="K48" i="3"/>
  <c r="L48" i="3"/>
  <c r="K49" i="3"/>
  <c r="L49" i="3"/>
  <c r="K50" i="3"/>
  <c r="L50" i="3"/>
  <c r="K51" i="3"/>
  <c r="L51" i="3"/>
  <c r="K52" i="3"/>
  <c r="L52" i="3"/>
  <c r="K53" i="3"/>
  <c r="L53" i="3"/>
  <c r="K54" i="3"/>
  <c r="L54" i="3"/>
  <c r="K55" i="3"/>
  <c r="L55" i="3"/>
  <c r="K56" i="3"/>
  <c r="L56" i="3"/>
  <c r="K57" i="3"/>
  <c r="L57" i="3"/>
  <c r="K58" i="3"/>
  <c r="L58" i="3"/>
  <c r="K59" i="3"/>
  <c r="L59" i="3"/>
  <c r="K60" i="3"/>
  <c r="L60" i="3"/>
  <c r="K61" i="3"/>
  <c r="L61" i="3"/>
  <c r="K62" i="3"/>
  <c r="L62" i="3"/>
  <c r="K63" i="3"/>
  <c r="L63" i="3"/>
  <c r="K64" i="3"/>
  <c r="L64" i="3"/>
  <c r="K65" i="3"/>
  <c r="L65" i="3"/>
  <c r="K66" i="3"/>
  <c r="L66" i="3"/>
  <c r="K67" i="3"/>
  <c r="L67" i="3"/>
  <c r="K68" i="3"/>
  <c r="L68" i="3"/>
  <c r="K69" i="3"/>
  <c r="L69" i="3"/>
  <c r="K70" i="3"/>
  <c r="L70" i="3"/>
  <c r="K71" i="3"/>
  <c r="L71" i="3"/>
  <c r="K72" i="3"/>
  <c r="L72" i="3"/>
  <c r="K73" i="3"/>
  <c r="L73" i="3"/>
  <c r="K74" i="3"/>
  <c r="L74" i="3"/>
  <c r="K75" i="3"/>
  <c r="L75" i="3"/>
  <c r="K76" i="3"/>
  <c r="L76" i="3"/>
  <c r="K77" i="3"/>
  <c r="L77" i="3"/>
  <c r="K78" i="3"/>
  <c r="L78" i="3"/>
  <c r="K79" i="3"/>
  <c r="L79" i="3"/>
  <c r="K80" i="3"/>
  <c r="L80" i="3"/>
  <c r="K81" i="3"/>
  <c r="L81" i="3"/>
  <c r="K82" i="3"/>
  <c r="L82" i="3"/>
  <c r="K83" i="3"/>
  <c r="L83" i="3"/>
  <c r="K84" i="3"/>
  <c r="L84" i="3"/>
  <c r="K85" i="3"/>
  <c r="L85" i="3"/>
  <c r="K86" i="3"/>
  <c r="L86" i="3"/>
  <c r="K87" i="3"/>
  <c r="L87" i="3"/>
  <c r="K88" i="3"/>
  <c r="L88" i="3"/>
  <c r="K89" i="3"/>
  <c r="L89" i="3"/>
  <c r="K90" i="3"/>
  <c r="L90" i="3"/>
  <c r="K91" i="3"/>
  <c r="L91" i="3"/>
  <c r="K92" i="3"/>
  <c r="L92" i="3"/>
  <c r="K93" i="3"/>
  <c r="L93" i="3"/>
  <c r="K94" i="3"/>
  <c r="L94" i="3"/>
  <c r="K95" i="3"/>
  <c r="L95" i="3"/>
  <c r="K96" i="3"/>
  <c r="L96" i="3"/>
  <c r="K97" i="3"/>
  <c r="L97" i="3"/>
  <c r="K98" i="3"/>
  <c r="L98" i="3"/>
  <c r="K99" i="3"/>
  <c r="L99" i="3"/>
  <c r="K100" i="3"/>
  <c r="L100" i="3"/>
  <c r="K101" i="3"/>
  <c r="L101" i="3"/>
  <c r="K102" i="3"/>
  <c r="L102" i="3"/>
  <c r="K103" i="3"/>
  <c r="L103" i="3"/>
  <c r="K104" i="3"/>
  <c r="L104" i="3"/>
  <c r="K105" i="3"/>
  <c r="L105" i="3"/>
  <c r="K106" i="3"/>
  <c r="L106" i="3"/>
  <c r="K107" i="3"/>
  <c r="L107" i="3"/>
  <c r="K108" i="3"/>
  <c r="L108" i="3"/>
  <c r="K109" i="3"/>
  <c r="L109" i="3"/>
  <c r="K110" i="3"/>
  <c r="L110" i="3"/>
  <c r="K111" i="3"/>
  <c r="L111" i="3"/>
  <c r="K112" i="3"/>
  <c r="L112" i="3"/>
  <c r="K113" i="3"/>
  <c r="L113" i="3"/>
  <c r="K114" i="3"/>
  <c r="L114" i="3"/>
  <c r="K115" i="3"/>
  <c r="L115" i="3"/>
  <c r="K116" i="3"/>
  <c r="L116" i="3"/>
  <c r="K117" i="3"/>
  <c r="L117" i="3"/>
  <c r="K118" i="3"/>
  <c r="L118" i="3"/>
  <c r="K119" i="3"/>
  <c r="L119" i="3"/>
  <c r="K120" i="3"/>
  <c r="L120" i="3"/>
  <c r="K121" i="3"/>
  <c r="L121" i="3"/>
  <c r="K122" i="3"/>
  <c r="L122" i="3"/>
  <c r="K123" i="3"/>
  <c r="L123" i="3"/>
  <c r="K124" i="3"/>
  <c r="L124" i="3"/>
  <c r="K125" i="3"/>
  <c r="L125" i="3"/>
  <c r="K126" i="3"/>
  <c r="L126" i="3"/>
  <c r="K127" i="3"/>
  <c r="L127" i="3"/>
  <c r="K128" i="3"/>
  <c r="L128" i="3"/>
  <c r="K129" i="3"/>
  <c r="L129" i="3"/>
  <c r="K130" i="3"/>
  <c r="L130" i="3"/>
  <c r="K131" i="3"/>
  <c r="L131" i="3"/>
  <c r="K132" i="3"/>
  <c r="L132" i="3"/>
  <c r="K133" i="3"/>
  <c r="L133" i="3"/>
  <c r="K134" i="3"/>
  <c r="L134" i="3"/>
  <c r="K135" i="3"/>
  <c r="L135" i="3"/>
  <c r="K136" i="3"/>
  <c r="L136" i="3"/>
  <c r="L3" i="3"/>
  <c r="K3" i="3"/>
  <c r="J14" i="3" l="1"/>
  <c r="I14" i="3" s="1"/>
  <c r="N138" i="3"/>
  <c r="J118" i="3"/>
  <c r="I118" i="3" s="1"/>
  <c r="J106" i="3"/>
  <c r="I106" i="3" s="1"/>
  <c r="J94" i="3"/>
  <c r="I94" i="3" s="1"/>
  <c r="J82" i="3"/>
  <c r="I82" i="3" s="1"/>
  <c r="J70" i="3"/>
  <c r="I70" i="3" s="1"/>
  <c r="J58" i="3"/>
  <c r="I58" i="3" s="1"/>
  <c r="J46" i="3"/>
  <c r="I46" i="3" s="1"/>
  <c r="J22" i="3"/>
  <c r="I22" i="3" s="1"/>
  <c r="J10" i="3"/>
  <c r="I10" i="3" s="1"/>
  <c r="J137" i="3"/>
  <c r="J45" i="3"/>
  <c r="I45" i="3" s="1"/>
  <c r="J33" i="3"/>
  <c r="I33" i="3" s="1"/>
  <c r="J80" i="3"/>
  <c r="I80" i="3" s="1"/>
  <c r="J32" i="3"/>
  <c r="I32" i="3" s="1"/>
  <c r="J20" i="3"/>
  <c r="J8" i="3"/>
  <c r="I8" i="3" s="1"/>
  <c r="J126" i="3"/>
  <c r="I126" i="3" s="1"/>
  <c r="J90" i="3"/>
  <c r="I90" i="3" s="1"/>
  <c r="J78" i="3"/>
  <c r="I78" i="3" s="1"/>
  <c r="J66" i="3"/>
  <c r="I66" i="3" s="1"/>
  <c r="J42" i="3"/>
  <c r="I42" i="3" s="1"/>
  <c r="J30" i="3"/>
  <c r="I30" i="3" s="1"/>
  <c r="J18" i="3"/>
  <c r="I18" i="3" s="1"/>
  <c r="J19" i="3"/>
  <c r="I19" i="3" s="1"/>
  <c r="J113" i="3"/>
  <c r="I113" i="3" s="1"/>
  <c r="J101" i="3"/>
  <c r="I101" i="3" s="1"/>
  <c r="J89" i="3"/>
  <c r="J77" i="3"/>
  <c r="I77" i="3" s="1"/>
  <c r="J65" i="3"/>
  <c r="I65" i="3" s="1"/>
  <c r="J41" i="3"/>
  <c r="I41" i="3" s="1"/>
  <c r="J29" i="3"/>
  <c r="I29" i="3" s="1"/>
  <c r="J17" i="3"/>
  <c r="I17" i="3" s="1"/>
  <c r="J5" i="3"/>
  <c r="I5" i="3" s="1"/>
  <c r="J100" i="3"/>
  <c r="I100" i="3" s="1"/>
  <c r="J64" i="3"/>
  <c r="I64" i="3" s="1"/>
  <c r="J40" i="3"/>
  <c r="I40" i="3" s="1"/>
  <c r="J28" i="3"/>
  <c r="I28" i="3" s="1"/>
  <c r="J16" i="3"/>
  <c r="I16" i="3" s="1"/>
  <c r="J4" i="3"/>
  <c r="I4" i="3" s="1"/>
  <c r="J135" i="3"/>
  <c r="I135" i="3" s="1"/>
  <c r="J123" i="3"/>
  <c r="I123" i="3" s="1"/>
  <c r="J99" i="3"/>
  <c r="I99" i="3" s="1"/>
  <c r="J87" i="3"/>
  <c r="I87" i="3" s="1"/>
  <c r="J75" i="3"/>
  <c r="I75" i="3" s="1"/>
  <c r="J51" i="3"/>
  <c r="I51" i="3" s="1"/>
  <c r="J27" i="3"/>
  <c r="I27" i="3" s="1"/>
  <c r="J15" i="3"/>
  <c r="I15" i="3" s="1"/>
  <c r="J98" i="3"/>
  <c r="I98" i="3" s="1"/>
  <c r="J26" i="3"/>
  <c r="I26" i="3" s="1"/>
  <c r="J121" i="3"/>
  <c r="I121" i="3" s="1"/>
  <c r="J109" i="3"/>
  <c r="I109" i="3" s="1"/>
  <c r="J97" i="3"/>
  <c r="I97" i="3" s="1"/>
  <c r="J85" i="3"/>
  <c r="I85" i="3" s="1"/>
  <c r="J73" i="3"/>
  <c r="I73" i="3" s="1"/>
  <c r="J61" i="3"/>
  <c r="J49" i="3"/>
  <c r="J37" i="3"/>
  <c r="J25" i="3"/>
  <c r="I25" i="3" s="1"/>
  <c r="J13" i="3"/>
  <c r="I13" i="3" s="1"/>
  <c r="J132" i="3"/>
  <c r="I132" i="3" s="1"/>
  <c r="J120" i="3"/>
  <c r="I120" i="3" s="1"/>
  <c r="J84" i="3"/>
  <c r="I84" i="3" s="1"/>
  <c r="J60" i="3"/>
  <c r="I60" i="3" s="1"/>
  <c r="J36" i="3"/>
  <c r="I36" i="3" s="1"/>
  <c r="J24" i="3"/>
  <c r="I24" i="3" s="1"/>
  <c r="J12" i="3"/>
  <c r="I12" i="3" s="1"/>
  <c r="J139" i="3"/>
  <c r="J11" i="3"/>
  <c r="I11" i="3" s="1"/>
  <c r="N99" i="3"/>
  <c r="N14" i="3"/>
  <c r="N76" i="3"/>
  <c r="N52" i="3"/>
  <c r="N71" i="3"/>
  <c r="N9" i="3"/>
  <c r="N128" i="3"/>
  <c r="N80" i="3"/>
  <c r="N26" i="3" l="1"/>
  <c r="N123" i="3"/>
  <c r="N97" i="3"/>
  <c r="N101" i="3"/>
  <c r="N137" i="3"/>
  <c r="I137" i="3"/>
  <c r="N61" i="3"/>
  <c r="I61" i="3"/>
  <c r="N49" i="3"/>
  <c r="I49" i="3"/>
  <c r="N139" i="3"/>
  <c r="I139" i="3"/>
  <c r="N89" i="3"/>
  <c r="I89" i="3"/>
  <c r="N37" i="3"/>
  <c r="I37" i="3"/>
  <c r="N20" i="3"/>
  <c r="I20" i="3"/>
  <c r="N98" i="3"/>
  <c r="N42" i="3"/>
  <c r="N30" i="3"/>
  <c r="N40" i="3"/>
  <c r="N13" i="3"/>
  <c r="N67" i="3"/>
  <c r="N73" i="3"/>
  <c r="N103" i="3"/>
  <c r="N64" i="3"/>
  <c r="N55" i="3"/>
  <c r="N17" i="3"/>
  <c r="N6" i="3"/>
  <c r="N24" i="3"/>
  <c r="N107" i="3"/>
  <c r="N53" i="3"/>
  <c r="N4" i="3"/>
  <c r="N126" i="3"/>
  <c r="N90" i="3"/>
  <c r="N8" i="3"/>
  <c r="N92" i="3"/>
  <c r="N48" i="3"/>
  <c r="N84" i="3"/>
  <c r="N120" i="3"/>
  <c r="N114" i="3"/>
  <c r="N43" i="3"/>
  <c r="N132" i="3"/>
  <c r="N117" i="3"/>
  <c r="N110" i="3"/>
  <c r="N122" i="3"/>
  <c r="N16" i="3"/>
  <c r="N74" i="3"/>
  <c r="N22" i="3"/>
  <c r="N18" i="3"/>
  <c r="N36" i="3"/>
  <c r="N51" i="3"/>
  <c r="N25" i="3"/>
  <c r="N41" i="3"/>
  <c r="N60" i="3"/>
  <c r="N33" i="3"/>
  <c r="N5" i="3"/>
  <c r="N45" i="3"/>
  <c r="N131" i="3"/>
  <c r="N133" i="3"/>
  <c r="N10" i="3"/>
  <c r="N35" i="3"/>
  <c r="N78" i="3"/>
  <c r="N19" i="3"/>
  <c r="N54" i="3"/>
  <c r="N119" i="3"/>
  <c r="N31" i="3"/>
  <c r="N66" i="3"/>
  <c r="N34" i="3"/>
  <c r="N39" i="3"/>
  <c r="N109" i="3"/>
  <c r="N104" i="3"/>
  <c r="N82" i="3"/>
  <c r="N116" i="3"/>
  <c r="N94" i="3"/>
  <c r="N115" i="3"/>
  <c r="N93" i="3"/>
  <c r="N58" i="3"/>
  <c r="N121" i="3"/>
  <c r="N124" i="3"/>
  <c r="N27" i="3"/>
  <c r="N72" i="3"/>
  <c r="N130" i="3"/>
  <c r="N113" i="3"/>
  <c r="N127" i="3"/>
  <c r="N63" i="3"/>
  <c r="N68" i="3"/>
  <c r="N108" i="3"/>
  <c r="N70" i="3"/>
  <c r="N85" i="3"/>
  <c r="N125" i="3"/>
  <c r="N136" i="3"/>
  <c r="N59" i="3"/>
  <c r="N46" i="3"/>
  <c r="N29" i="3"/>
  <c r="N32" i="3"/>
  <c r="N118" i="3"/>
  <c r="N3" i="3"/>
  <c r="N75" i="3"/>
  <c r="N106" i="3"/>
  <c r="N28" i="3"/>
  <c r="N44" i="3"/>
  <c r="N87" i="3"/>
  <c r="N12" i="3"/>
  <c r="N105" i="3"/>
  <c r="N56" i="3"/>
  <c r="N65" i="3"/>
  <c r="N100" i="3"/>
  <c r="N77" i="3"/>
  <c r="N111" i="3"/>
  <c r="N57" i="3"/>
  <c r="N69" i="3"/>
  <c r="N11" i="3"/>
  <c r="N62" i="3"/>
  <c r="N134" i="3"/>
  <c r="N81" i="3"/>
  <c r="N7" i="3"/>
  <c r="N129" i="3"/>
  <c r="N102" i="3"/>
  <c r="N47" i="3"/>
  <c r="N95" i="3"/>
  <c r="N112" i="3"/>
  <c r="N96" i="3"/>
  <c r="N23" i="3"/>
  <c r="N79" i="3"/>
  <c r="N135" i="3"/>
  <c r="N21" i="3"/>
  <c r="N91" i="3"/>
  <c r="N38" i="3"/>
  <c r="N83" i="3"/>
  <c r="N88" i="3"/>
  <c r="N86" i="3"/>
  <c r="N15" i="3"/>
  <c r="N50" i="3"/>
</calcChain>
</file>

<file path=xl/sharedStrings.xml><?xml version="1.0" encoding="utf-8"?>
<sst xmlns="http://schemas.openxmlformats.org/spreadsheetml/2006/main" count="1311" uniqueCount="311">
  <si>
    <t>civil_district_name</t>
  </si>
  <si>
    <t>civil_district_type</t>
  </si>
  <si>
    <t>ward_number</t>
  </si>
  <si>
    <t>list_number</t>
  </si>
  <si>
    <t>turf_number</t>
  </si>
  <si>
    <t>door_count</t>
  </si>
  <si>
    <t>StevensPoint</t>
  </si>
  <si>
    <t>C</t>
  </si>
  <si>
    <t>0024</t>
  </si>
  <si>
    <t>57880184-61293</t>
  </si>
  <si>
    <t>Turf 01</t>
  </si>
  <si>
    <t>57880185-21152</t>
  </si>
  <si>
    <t>Turf 02</t>
  </si>
  <si>
    <t>57880186-85737</t>
  </si>
  <si>
    <t>Turf 04</t>
  </si>
  <si>
    <t>ParkRidge</t>
  </si>
  <si>
    <t>V</t>
  </si>
  <si>
    <t>0001</t>
  </si>
  <si>
    <t>57880061-78034</t>
  </si>
  <si>
    <t>57880062-70185</t>
  </si>
  <si>
    <t>57880063-87752</t>
  </si>
  <si>
    <t>Turf 03</t>
  </si>
  <si>
    <t>Plover</t>
  </si>
  <si>
    <t>0007</t>
  </si>
  <si>
    <t>57880246-51319</t>
  </si>
  <si>
    <t>57880247-68885</t>
  </si>
  <si>
    <t>57880248-86452</t>
  </si>
  <si>
    <t>57880249-14019</t>
  </si>
  <si>
    <t>0017</t>
  </si>
  <si>
    <t>57880209-74562</t>
  </si>
  <si>
    <t>57880210-19695</t>
  </si>
  <si>
    <t>57880211-11847</t>
  </si>
  <si>
    <t>0023</t>
  </si>
  <si>
    <t>57880093-53805</t>
  </si>
  <si>
    <t>57880094-45957</t>
  </si>
  <si>
    <t>57880095-81090</t>
  </si>
  <si>
    <t>0028</t>
  </si>
  <si>
    <t>57880217-61988</t>
  </si>
  <si>
    <t>57880218-21847</t>
  </si>
  <si>
    <t>57880219-56980</t>
  </si>
  <si>
    <t>57880220-34406</t>
  </si>
  <si>
    <t>57880104-48723</t>
  </si>
  <si>
    <t>Whiting</t>
  </si>
  <si>
    <t>0002</t>
  </si>
  <si>
    <t>57880214-28528</t>
  </si>
  <si>
    <t>57880215-78387</t>
  </si>
  <si>
    <t>57880216-95954</t>
  </si>
  <si>
    <t>StevensPt</t>
  </si>
  <si>
    <t>57880270-66137</t>
  </si>
  <si>
    <t>57880271-83704</t>
  </si>
  <si>
    <t>57880272-11271</t>
  </si>
  <si>
    <t>0020</t>
  </si>
  <si>
    <t>57880100-38788</t>
  </si>
  <si>
    <t>57880101-51347</t>
  </si>
  <si>
    <t>57880102-25932</t>
  </si>
  <si>
    <t>0014</t>
  </si>
  <si>
    <t>57880288-54186</t>
  </si>
  <si>
    <t>57880289-71752</t>
  </si>
  <si>
    <t>57880291-89319</t>
  </si>
  <si>
    <t>57880294-63904</t>
  </si>
  <si>
    <t>0026</t>
  </si>
  <si>
    <t>57880234-72603</t>
  </si>
  <si>
    <t>57880235-90169</t>
  </si>
  <si>
    <t>57880236-50028</t>
  </si>
  <si>
    <t>57880237-42180</t>
  </si>
  <si>
    <t>Turf 05</t>
  </si>
  <si>
    <t>0018</t>
  </si>
  <si>
    <t>57880148-77275</t>
  </si>
  <si>
    <t>57880149-22408</t>
  </si>
  <si>
    <t>57880150-72267</t>
  </si>
  <si>
    <t>57880151-64419</t>
  </si>
  <si>
    <t>0010</t>
  </si>
  <si>
    <t>57880053-11875</t>
  </si>
  <si>
    <t>57880054-76460</t>
  </si>
  <si>
    <t>0027</t>
  </si>
  <si>
    <t>57880238-63290</t>
  </si>
  <si>
    <t>Hull</t>
  </si>
  <si>
    <t>T</t>
  </si>
  <si>
    <t>0008</t>
  </si>
  <si>
    <t>57880068-40840</t>
  </si>
  <si>
    <t>0004</t>
  </si>
  <si>
    <t>57880135-32417</t>
  </si>
  <si>
    <t>57880137-24568</t>
  </si>
  <si>
    <t>57880139-91994</t>
  </si>
  <si>
    <t>57880141-84145</t>
  </si>
  <si>
    <t>57880143-61571</t>
  </si>
  <si>
    <t>57880169-77673</t>
  </si>
  <si>
    <t>57880171-37532</t>
  </si>
  <si>
    <t>0006</t>
  </si>
  <si>
    <t>57880190-76027</t>
  </si>
  <si>
    <t>57880191-35886</t>
  </si>
  <si>
    <t>0032</t>
  </si>
  <si>
    <t>57880331-72540</t>
  </si>
  <si>
    <t>57880332-32399</t>
  </si>
  <si>
    <t>57880035-17760</t>
  </si>
  <si>
    <t>57880036-99912</t>
  </si>
  <si>
    <t>57880037-77338</t>
  </si>
  <si>
    <t>57880038-54763</t>
  </si>
  <si>
    <t>Amherst</t>
  </si>
  <si>
    <t>57880224-84968</t>
  </si>
  <si>
    <t>57880225-44827</t>
  </si>
  <si>
    <t>57880023-72818</t>
  </si>
  <si>
    <t>57880024-32677</t>
  </si>
  <si>
    <t>57880265-12372</t>
  </si>
  <si>
    <t>57880266-29938</t>
  </si>
  <si>
    <t>57880267-47505</t>
  </si>
  <si>
    <t>0003</t>
  </si>
  <si>
    <t>57880087-57638</t>
  </si>
  <si>
    <t>57880088-17497</t>
  </si>
  <si>
    <t>57880089-99649</t>
  </si>
  <si>
    <t>57880096-51065</t>
  </si>
  <si>
    <t>57880097-10924</t>
  </si>
  <si>
    <t>57880098-28491</t>
  </si>
  <si>
    <t>57880099-78350</t>
  </si>
  <si>
    <t>0019</t>
  </si>
  <si>
    <t>57880154-42838</t>
  </si>
  <si>
    <t>57880155-92697</t>
  </si>
  <si>
    <t>0029</t>
  </si>
  <si>
    <t>57880326-92275</t>
  </si>
  <si>
    <t>0025</t>
  </si>
  <si>
    <t>57880307-51439</t>
  </si>
  <si>
    <t>57880308-93449</t>
  </si>
  <si>
    <t>57880273-16966</t>
  </si>
  <si>
    <t>57880274-34533</t>
  </si>
  <si>
    <t>57880275-84392</t>
  </si>
  <si>
    <t>0033</t>
  </si>
  <si>
    <t>57880156-33916</t>
  </si>
  <si>
    <t>57880157-83775</t>
  </si>
  <si>
    <t>0021</t>
  </si>
  <si>
    <t>57880319-46828</t>
  </si>
  <si>
    <t>0022</t>
  </si>
  <si>
    <t>57880323-69808</t>
  </si>
  <si>
    <t>57880324-87375</t>
  </si>
  <si>
    <t>57880325-14941</t>
  </si>
  <si>
    <t>57880059-17571</t>
  </si>
  <si>
    <t>57880060-67430</t>
  </si>
  <si>
    <t>57880226-94489</t>
  </si>
  <si>
    <t>57880227-54348</t>
  </si>
  <si>
    <t>57880228-71915</t>
  </si>
  <si>
    <t>57880229-89481</t>
  </si>
  <si>
    <t>0009</t>
  </si>
  <si>
    <t>57880262-79574</t>
  </si>
  <si>
    <t>57880263-54159</t>
  </si>
  <si>
    <t>57880264-71725</t>
  </si>
  <si>
    <t>0031</t>
  </si>
  <si>
    <t>57880330-64792</t>
  </si>
  <si>
    <t>0015</t>
  </si>
  <si>
    <t>57880313-52713</t>
  </si>
  <si>
    <t>57880314-70280</t>
  </si>
  <si>
    <t>57880315-30139</t>
  </si>
  <si>
    <t>0016</t>
  </si>
  <si>
    <t>57880152-89254</t>
  </si>
  <si>
    <t>57880153-34387</t>
  </si>
  <si>
    <t>0011</t>
  </si>
  <si>
    <t>57880075-60169</t>
  </si>
  <si>
    <t>57880076-63010</t>
  </si>
  <si>
    <t>57880077-55161</t>
  </si>
  <si>
    <t>0005</t>
  </si>
  <si>
    <t>57880335-22607</t>
  </si>
  <si>
    <t>57880336-72467</t>
  </si>
  <si>
    <t>57880207-93883</t>
  </si>
  <si>
    <t>57880208-21449</t>
  </si>
  <si>
    <t>57880090-99062</t>
  </si>
  <si>
    <t>57880091-26628</t>
  </si>
  <si>
    <t>57880092-44195</t>
  </si>
  <si>
    <t>57880182-74164</t>
  </si>
  <si>
    <t>57880183-91731</t>
  </si>
  <si>
    <t>0030</t>
  </si>
  <si>
    <t>57880177-76804</t>
  </si>
  <si>
    <t>57880178-79644</t>
  </si>
  <si>
    <t>0012</t>
  </si>
  <si>
    <t>57880253-84880</t>
  </si>
  <si>
    <t>57880254-59464</t>
  </si>
  <si>
    <t>57880255-77031</t>
  </si>
  <si>
    <t>57880256-73994</t>
  </si>
  <si>
    <t>57880257-91560</t>
  </si>
  <si>
    <t>57880258-66145</t>
  </si>
  <si>
    <t>57880312-90203</t>
  </si>
  <si>
    <t>57880201-74752</t>
  </si>
  <si>
    <t>57880202-92318</t>
  </si>
  <si>
    <t>57880203-52177</t>
  </si>
  <si>
    <t>57880204-12036</t>
  </si>
  <si>
    <t>0013</t>
  </si>
  <si>
    <t>57880048-53199</t>
  </si>
  <si>
    <t>57880049-13058</t>
  </si>
  <si>
    <t>57880080-15426</t>
  </si>
  <si>
    <t>57880081-32993</t>
  </si>
  <si>
    <t>57880082-50560</t>
  </si>
  <si>
    <t>misname_rename</t>
  </si>
  <si>
    <t>Canonical</t>
  </si>
  <si>
    <t>Stevens Point</t>
  </si>
  <si>
    <t>Park Ridge</t>
  </si>
  <si>
    <t>Misname</t>
  </si>
  <si>
    <t>ward_from_turf</t>
  </si>
  <si>
    <t>Stevens Point - C - 0008</t>
  </si>
  <si>
    <t>Stevens Point - C - 0013</t>
  </si>
  <si>
    <t>Stevens Point - C - 0010</t>
  </si>
  <si>
    <t>Stevens Point - C - 0009</t>
  </si>
  <si>
    <t>Stevens Point - C - 0001</t>
  </si>
  <si>
    <t>Stevens Point - C - 0002</t>
  </si>
  <si>
    <t>Stevens Point - C - 0014</t>
  </si>
  <si>
    <t>Stevens Point - C - 0025</t>
  </si>
  <si>
    <t>Stevens Point - C - 0004</t>
  </si>
  <si>
    <t>Stevens Point - C - 0007</t>
  </si>
  <si>
    <t>Stevens Point - C - 0003</t>
  </si>
  <si>
    <t>Stevens Point - C - 0006</t>
  </si>
  <si>
    <t>Stevens Point - C - 0021</t>
  </si>
  <si>
    <t>Stevens Point - C - 0015</t>
  </si>
  <si>
    <t>Stevens Point - C - 0005</t>
  </si>
  <si>
    <t>Stevens Point - C - 0032</t>
  </si>
  <si>
    <t>Stevens Point - C - 0031</t>
  </si>
  <si>
    <t>Stevens Point - C - 0029</t>
  </si>
  <si>
    <t>Stevens Point - C - 0022</t>
  </si>
  <si>
    <t>Park Ridge - V - 0001</t>
  </si>
  <si>
    <t>Stevens Point - C - 0011</t>
  </si>
  <si>
    <t>Stevens Point - C - 0023</t>
  </si>
  <si>
    <t>Stevens Point - C - 0018</t>
  </si>
  <si>
    <t>Stevens Point - C - 0019</t>
  </si>
  <si>
    <t>Stevens Point - C - 0028</t>
  </si>
  <si>
    <t>Stevens Point - C - 0026</t>
  </si>
  <si>
    <t>Stevens Point - C - 0027</t>
  </si>
  <si>
    <t>Stevens Point - C - 0012</t>
  </si>
  <si>
    <t>Plover - V - 0009</t>
  </si>
  <si>
    <t>Plover - V - 0001</t>
  </si>
  <si>
    <t>Stevens Point - C - 0020</t>
  </si>
  <si>
    <t>Stevens Point - C - 0030</t>
  </si>
  <si>
    <t>Plover - V - 0010</t>
  </si>
  <si>
    <t>Plover - V - 0003</t>
  </si>
  <si>
    <t>Whiting - V - 0002</t>
  </si>
  <si>
    <t>Plover - V - 0008</t>
  </si>
  <si>
    <t>Stevens Point - C - 0033</t>
  </si>
  <si>
    <t>Stevens Point - C - 0017</t>
  </si>
  <si>
    <t>Amherst - V - 0002</t>
  </si>
  <si>
    <t>Plover - V - 0005</t>
  </si>
  <si>
    <t>Plover - V - 0006</t>
  </si>
  <si>
    <t>Stevens Point - C - 0016</t>
  </si>
  <si>
    <t>Whiting - V - 0001</t>
  </si>
  <si>
    <t>Stevens Point - C - 0024</t>
  </si>
  <si>
    <t>Amherst - V - 0001</t>
  </si>
  <si>
    <t>Plover - V - 0007</t>
  </si>
  <si>
    <t>Plover - V - 0002</t>
  </si>
  <si>
    <t>HULL - T - 0006</t>
  </si>
  <si>
    <t>HULL - T - 0004</t>
  </si>
  <si>
    <t>HULL - T - 0008</t>
  </si>
  <si>
    <t>Plover - V - 0004</t>
  </si>
  <si>
    <t>turf_count</t>
  </si>
  <si>
    <t>ward_name</t>
  </si>
  <si>
    <t>priority</t>
  </si>
  <si>
    <t>region_name_raw</t>
  </si>
  <si>
    <t>R05B_Portage_StevensPointCity_024_GOTV</t>
  </si>
  <si>
    <t>R05B_Portage_ParkRidgeVillage_001_GOTV</t>
  </si>
  <si>
    <t>R05B_Portage_PloverVillage_007_GOTV</t>
  </si>
  <si>
    <t>R05B_Portage_StevensPoint_0017</t>
  </si>
  <si>
    <t>R05B_Portage_StevensPointCity_023_GOTV</t>
  </si>
  <si>
    <t>R05B_Portage_StevensPointCity_028_GOTV</t>
  </si>
  <si>
    <t>R05B_Portage_StevensPointCity_007_GOTV</t>
  </si>
  <si>
    <t>R05B_Portage_WhitingVillage_002_GOTV</t>
  </si>
  <si>
    <t>R05B_Portage_StevensPtCity_001_GOTV</t>
  </si>
  <si>
    <t>R05B_Portage_StevensPointCity_020_GOTV</t>
  </si>
  <si>
    <t>R05B_Portage_StevensPtCity_014_GOTV</t>
  </si>
  <si>
    <t>R05B_Portage_StevensPointCity_026_GOTV</t>
  </si>
  <si>
    <t>R05B_Portage_StevensPointCity_018_GOTV</t>
  </si>
  <si>
    <t>R05B_Portage_StevensPointCity_010_GOTV</t>
  </si>
  <si>
    <t>R05B_Portage_StevensPointCity_027_GOTV</t>
  </si>
  <si>
    <t>R05B_Portage_HullTown_008_GOTV</t>
  </si>
  <si>
    <t>R05B_Portage_PloverVillage_004_GOTV</t>
  </si>
  <si>
    <t>R05B_Portage_WhitingVillage_001_GOTV</t>
  </si>
  <si>
    <t>R05B_Portage_HullTown_006_GOTV</t>
  </si>
  <si>
    <t>R05B_Portage_StevensPointCity_032_GOTV</t>
  </si>
  <si>
    <t>R05B_Portage_PloverVillage_001_GOTV</t>
  </si>
  <si>
    <t>R05B_Portage_Amherst_0002</t>
  </si>
  <si>
    <t>R05B_Portage_StevensPointCity_008_GOTV</t>
  </si>
  <si>
    <t>R05B_Portage_PloverVillage_010_GOTV</t>
  </si>
  <si>
    <t>R05B_Portage_PloverVillage_003_GOTV</t>
  </si>
  <si>
    <t>R05B_Portage_StevensPointCity_004_GOTV</t>
  </si>
  <si>
    <t>R05B_Portage_StevensPointCity_019_GOTV</t>
  </si>
  <si>
    <t>R05B_Portage_StevensPointCity_029_GOTV</t>
  </si>
  <si>
    <t>R05B_Portage_StevensPtCity_025_GOTV</t>
  </si>
  <si>
    <t>R05B_Portage_StevensPtCity_002_GOTV</t>
  </si>
  <si>
    <t>R05B_Portage_StevensPoint_0033</t>
  </si>
  <si>
    <t>R05B_Portage_StevensPointCity_021_GOTV</t>
  </si>
  <si>
    <t>R05B_Portage_StevensPointCity_022_GOTV</t>
  </si>
  <si>
    <t>R05B_Portage_HullTown_004_GOTV</t>
  </si>
  <si>
    <t>R05B_Portage_PloverVillage_006_GOTV</t>
  </si>
  <si>
    <t>R05B_Portage_PloverVillage_009_GOTV</t>
  </si>
  <si>
    <t>R05B_Portage_StevensPointCity_031_GOTV</t>
  </si>
  <si>
    <t>R05B_Portage_StevensPointCity_015_GOTV</t>
  </si>
  <si>
    <t>R05B_Portage_StevensPointCity_016_GOTV</t>
  </si>
  <si>
    <t>R05B_Portage_StevensPointCity_011_GOTV</t>
  </si>
  <si>
    <t>R05B_Portage_StevensPointCity_005_GOTV</t>
  </si>
  <si>
    <t>R05B_Portage_AmherstVillage_001_GOTV</t>
  </si>
  <si>
    <t>R05B_Portage_StevensPtCity_009_GOTV</t>
  </si>
  <si>
    <t>R05B_Portage_StevensPointCity_003_GOTV</t>
  </si>
  <si>
    <t>R05B_Portage_StevensPointCity_030_GOTV</t>
  </si>
  <si>
    <t>R05B_Portage_StevensPointCity_012_GOTV</t>
  </si>
  <si>
    <t>R05B_Portage_PloverVillage_008_GOTV</t>
  </si>
  <si>
    <t>R05B_Portage_StevensPointCity_006_GOTV</t>
  </si>
  <si>
    <t>R05B_Portage_PloverVillage_005_GOTV</t>
  </si>
  <si>
    <t>R05B_Portage_StevensPointCity_013_GOTV</t>
  </si>
  <si>
    <t>R05B_Portage_PloverVillage_002_GOTV</t>
  </si>
  <si>
    <t>Stevens Point -  - 0017</t>
  </si>
  <si>
    <t>Hull - T - 0008</t>
  </si>
  <si>
    <t>Hull - T - 0006</t>
  </si>
  <si>
    <t>Amherst -  - 0002</t>
  </si>
  <si>
    <t>Stevens Point -  - 0033</t>
  </si>
  <si>
    <t>Hull - T - 0004</t>
  </si>
  <si>
    <t>duplicate_finder</t>
  </si>
  <si>
    <t>Paste CSV here</t>
  </si>
  <si>
    <t>Use Misname tab</t>
  </si>
  <si>
    <t>Final output here (copy/paste to Sort for sorting)</t>
  </si>
  <si>
    <t>Find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</si>
</sst>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8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rgb="FF196B24"/>
      </left>
      <right/>
      <top style="thin">
        <color rgb="FF196B24"/>
      </top>
      <bottom/>
      <diagonal/>
    </border>
    <border>
      <left/>
      <right/>
      <top style="thin">
        <color rgb="FF196B24"/>
      </top>
      <bottom/>
      <diagonal/>
    </border>
    <border>
      <left/>
      <right style="thin">
        <color rgb="FF196B24"/>
      </right>
      <top style="thin">
        <color rgb="FF196B24"/>
      </top>
      <bottom/>
      <diagonal/>
    </border>
    <border>
      <left/>
      <right style="thin">
        <color rgb="FF196B24"/>
      </right>
      <top style="thin">
        <color rgb="FF196B24"/>
      </top>
      <bottom style="thin">
        <color rgb="FF196B24"/>
      </bottom>
      <diagonal/>
    </border>
    <border>
      <left style="thin">
        <color rgb="FF196B24"/>
      </left>
      <right/>
      <top style="thin">
        <color rgb="FF196B24"/>
      </top>
      <bottom style="thin">
        <color rgb="FF196B24"/>
      </bottom>
      <diagonal/>
    </border>
    <border>
      <left/>
      <right/>
      <top style="thin">
        <color rgb="FF196B24"/>
      </top>
      <bottom style="thin">
        <color rgb="FF196B2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quotePrefix="1"/>
    <xf numFmtId="0" fontId="2" fillId="0" borderId="0" xfId="0" applyFont="1"/>
    <xf numFmtId="0" fontId="4" fillId="0" borderId="1" xfId="0" applyFont="1" applyBorder="1"/>
    <xf numFmtId="0" fontId="3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1" fillId="2" borderId="0" xfId="0" applyFont="1" applyFill="1"/>
    <xf numFmtId="0" fontId="6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</cellXfs>
  <cellStyles count="1">
    <cellStyle name="Normal" xfId="0" builtinId="0"/>
  </cellStyles>
  <dxfs count="10">
    <dxf>
      <numFmt numFmtId="0" formatCode="General"/>
    </dxf>
    <dxf>
      <font>
        <color rgb="FF9C0006"/>
      </font>
      <fill>
        <patternFill>
          <bgColor rgb="FFFFC7CE"/>
        </patternFill>
      </fill>
    </dxf>
    <dxf>
      <border outline="0">
        <left style="thin">
          <color theme="8"/>
        </left>
        <right style="thin">
          <color theme="8"/>
        </right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8"/>
          <bgColor theme="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border outline="0">
        <top style="thin">
          <color rgb="FF7F7F7F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932A76-FA88-BD42-8519-BBE3738C6979}" name="Table5" displayName="Table5" ref="A2:G139" totalsRowShown="0" tableBorderDxfId="9">
  <autoFilter ref="A2:G139" xr:uid="{FE932A76-FA88-BD42-8519-BBE3738C6979}"/>
  <tableColumns count="7">
    <tableColumn id="7" xr3:uid="{3E2B1255-B64E-BF44-960A-B1CE96520ECE}" name="region_name_raw"/>
    <tableColumn id="1" xr3:uid="{27C60891-9647-A248-8FD4-1CA4B7E97745}" name="civil_district_name"/>
    <tableColumn id="2" xr3:uid="{67A9AEE4-A3FA-6F45-B209-34107F03ED0D}" name="civil_district_type"/>
    <tableColumn id="3" xr3:uid="{4F782440-590F-C047-9A4E-0D5D288A55D0}" name="ward_number"/>
    <tableColumn id="4" xr3:uid="{94FAE1F3-2769-D948-A285-15CD71058C9E}" name="list_number"/>
    <tableColumn id="5" xr3:uid="{4B7DCA29-9194-0445-A02B-8FCD17432345}" name="turf_number"/>
    <tableColumn id="6" xr3:uid="{D31FB5B7-AE2D-BC4F-978B-CFC93607C1CF}" name="door_count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975CCF-9792-BD44-9119-0D9E121161F1}" name="Table6" displayName="Table6" ref="H2:H139" totalsRowShown="0" headerRowCellStyle="Normal">
  <autoFilter ref="H2:H139" xr:uid="{10975CCF-9792-BD44-9119-0D9E121161F1}"/>
  <tableColumns count="1">
    <tableColumn id="1" xr3:uid="{1DBC5718-9024-8C45-B9C1-5D5A20189353}" name="misname_rename">
      <calculatedColumnFormula>_xlfn.XLOOKUP($B3,Table24[Misname],Table24[Canonical],$B3)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6EEB7E-A7CB-C246-8ADB-5D6D5EF2C1F5}" name="Table7" displayName="Table7" ref="I2:M139" totalsRowShown="0" headerRowCellStyle="Normal">
  <autoFilter ref="I2:M139" xr:uid="{C46EEB7E-A7CB-C246-8ADB-5D6D5EF2C1F5}"/>
  <tableColumns count="5">
    <tableColumn id="1" xr3:uid="{E1D05E23-02A1-A245-8A2F-D0E5F5388CEC}" name="priority">
      <calculatedColumnFormula>_xlfn.XLOOKUP($J3,Table4[ward_name],Table4[priority])</calculatedColumnFormula>
    </tableColumn>
    <tableColumn id="9" xr3:uid="{B0B7409F-D31B-A54D-A41E-85D93D215F56}" name="ward_from_turf">
      <calculatedColumnFormula>$H3&amp;" - "&amp;$C3&amp;" - "&amp;$D3</calculatedColumnFormula>
    </tableColumn>
    <tableColumn id="2" xr3:uid="{F4109E0F-477D-A140-8387-8956E6D8C0B5}" name="list_number">
      <calculatedColumnFormula>$E3</calculatedColumnFormula>
    </tableColumn>
    <tableColumn id="3" xr3:uid="{706BEE3D-B929-C744-BAA9-C6821FF738F5}" name="turf_number">
      <calculatedColumnFormula>$F3</calculatedColumnFormula>
    </tableColumn>
    <tableColumn id="4" xr3:uid="{93CE3B59-D890-9F40-ABB8-46B8574920CC}" name="door_count">
      <calculatedColumnFormula>$G3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1734E4D-AB22-4F42-A9F8-C159264451A0}" name="Table11" displayName="Table11" ref="N2:N139" totalsRowShown="0" headerRowDxfId="8">
  <autoFilter ref="N2:N139" xr:uid="{F1734E4D-AB22-4F42-A9F8-C159264451A0}"/>
  <tableColumns count="1">
    <tableColumn id="1" xr3:uid="{712C4B04-4037-B54F-8F1F-521E80419DC8}" name="duplicate_finder">
      <calculatedColumnFormula>$J3&amp;" - "&amp;$L3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48B355-7F11-2A46-AEB0-F8C779ACFEC4}" name="Table4" displayName="Table4" ref="A1:C52" totalsRowShown="0" tableBorderDxfId="7">
  <autoFilter ref="A1:C52" xr:uid="{1E48B355-7F11-2A46-AEB0-F8C779ACFEC4}"/>
  <tableColumns count="3">
    <tableColumn id="1" xr3:uid="{FAFA12E9-D684-1A44-B71D-28D0D8D8B988}" name="priority" dataDxfId="6"/>
    <tableColumn id="2" xr3:uid="{C555D931-BD11-AB4F-8893-9C69CC1CD277}" name="ward_name" dataDxfId="5"/>
    <tableColumn id="3" xr3:uid="{4A3DAB92-B2D3-7A48-801E-8CD888470EDD}" name="turf_count" dataDxfId="0">
      <calculatedColumnFormula>COUNTIF(Table7[ward_from_turf],$B2)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BB29A6-220F-8A4A-96F1-FA209B57AECD}" name="Table24" displayName="Table24" ref="A1:B4" totalsRowShown="0" headerRowDxfId="4">
  <autoFilter ref="A1:B4" xr:uid="{2FBB29A6-220F-8A4A-96F1-FA209B57AECD}"/>
  <tableColumns count="2">
    <tableColumn id="1" xr3:uid="{C204E3BA-249A-C14A-A33A-DE02DB6DA618}" name="Misname"/>
    <tableColumn id="2" xr3:uid="{7D140DDB-BF1D-F14D-B7F0-55A0850EC930}" name="Canonical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3DCD3F5-9A28-DF4D-BC83-4AA20F0FB7F2}" name="Table10" displayName="Table10" ref="A1:E138" totalsRowShown="0" headerRowDxfId="3" tableBorderDxfId="2">
  <autoFilter ref="A1:E138" xr:uid="{F3DCD3F5-9A28-DF4D-BC83-4AA20F0FB7F2}"/>
  <sortState xmlns:xlrd2="http://schemas.microsoft.com/office/spreadsheetml/2017/richdata2" ref="A2:E138">
    <sortCondition ref="A1:A138"/>
  </sortState>
  <tableColumns count="5">
    <tableColumn id="1" xr3:uid="{6C187E6A-46F3-F544-97B7-B2DF6892D6F9}" name="priority"/>
    <tableColumn id="2" xr3:uid="{634BB3AA-89BA-DC40-A77C-05316953D4A3}" name="ward_from_turf"/>
    <tableColumn id="3" xr3:uid="{A33D6D01-878D-1B45-AA9B-743D8BE2BD60}" name="list_number"/>
    <tableColumn id="4" xr3:uid="{97DDD1AD-98E7-564E-A74B-A42836AC2D56}" name="turf_number"/>
    <tableColumn id="5" xr3:uid="{A02CBC94-75B7-934A-BCA2-1D1D6DE2C484}" name="door_coun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6C29-B237-2849-88FF-ED0F55FE0A0A}">
  <dimension ref="A1:N139"/>
  <sheetViews>
    <sheetView tabSelected="1" topLeftCell="B1" workbookViewId="0">
      <selection sqref="A1:N1"/>
    </sheetView>
  </sheetViews>
  <sheetFormatPr baseColWidth="10" defaultRowHeight="16" x14ac:dyDescent="0.2"/>
  <cols>
    <col min="1" max="1" width="37.1640625" bestFit="1" customWidth="1"/>
    <col min="2" max="2" width="17.83203125" customWidth="1"/>
    <col min="3" max="3" width="14.5" customWidth="1"/>
    <col min="4" max="4" width="14.83203125" bestFit="1" customWidth="1"/>
    <col min="5" max="5" width="13.33203125" customWidth="1"/>
    <col min="6" max="6" width="12.6640625" customWidth="1"/>
    <col min="7" max="7" width="19.83203125" bestFit="1" customWidth="1"/>
    <col min="8" max="8" width="20.1640625" bestFit="1" customWidth="1"/>
    <col min="9" max="9" width="9.5" bestFit="1" customWidth="1"/>
    <col min="10" max="10" width="20.1640625" customWidth="1"/>
    <col min="11" max="11" width="14.83203125" bestFit="1" customWidth="1"/>
    <col min="12" max="12" width="13.83203125" bestFit="1" customWidth="1"/>
    <col min="13" max="13" width="12.83203125" customWidth="1"/>
    <col min="14" max="14" width="27.1640625" bestFit="1" customWidth="1"/>
  </cols>
  <sheetData>
    <row r="1" spans="1:14" x14ac:dyDescent="0.2">
      <c r="A1" t="s">
        <v>307</v>
      </c>
      <c r="H1" t="s">
        <v>308</v>
      </c>
      <c r="I1" t="s">
        <v>309</v>
      </c>
      <c r="N1" t="s">
        <v>310</v>
      </c>
    </row>
    <row r="2" spans="1:14" x14ac:dyDescent="0.2">
      <c r="A2" t="s">
        <v>248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188</v>
      </c>
      <c r="I2" t="s">
        <v>247</v>
      </c>
      <c r="J2" t="s">
        <v>193</v>
      </c>
      <c r="K2" t="s">
        <v>3</v>
      </c>
      <c r="L2" t="s">
        <v>4</v>
      </c>
      <c r="M2" t="s">
        <v>5</v>
      </c>
      <c r="N2" s="11" t="s">
        <v>306</v>
      </c>
    </row>
    <row r="3" spans="1:14" x14ac:dyDescent="0.2">
      <c r="A3" t="s">
        <v>249</v>
      </c>
      <c r="B3" t="s">
        <v>6</v>
      </c>
      <c r="C3" t="s">
        <v>7</v>
      </c>
      <c r="D3" s="1" t="s">
        <v>8</v>
      </c>
      <c r="E3" t="s">
        <v>9</v>
      </c>
      <c r="F3" t="s">
        <v>10</v>
      </c>
      <c r="G3">
        <v>48</v>
      </c>
      <c r="H3" t="str">
        <f>_xlfn.XLOOKUP($B3,Table24[Misname],Table24[Canonical],$B3)</f>
        <v>Stevens Point</v>
      </c>
      <c r="I3">
        <f>_xlfn.XLOOKUP($J3,Table4[ward_name],Table4[priority])</f>
        <v>44</v>
      </c>
      <c r="J3" t="str">
        <f t="shared" ref="J3:J34" si="0">$H3&amp;" - "&amp;$C3&amp;" - "&amp;$D3</f>
        <v>Stevens Point - C - 0024</v>
      </c>
      <c r="K3" t="str">
        <f t="shared" ref="K3:K34" si="1">$E3</f>
        <v>57880184-61293</v>
      </c>
      <c r="L3" t="str">
        <f t="shared" ref="L3:L34" si="2">$F3</f>
        <v>Turf 01</v>
      </c>
      <c r="M3">
        <f>$G3</f>
        <v>48</v>
      </c>
      <c r="N3" t="str">
        <f t="shared" ref="N3:N34" si="3">$J3&amp;" - "&amp;$L3</f>
        <v>Stevens Point - C - 0024 - Turf 01</v>
      </c>
    </row>
    <row r="4" spans="1:14" x14ac:dyDescent="0.2">
      <c r="A4" t="s">
        <v>249</v>
      </c>
      <c r="B4" t="s">
        <v>6</v>
      </c>
      <c r="C4" t="s">
        <v>7</v>
      </c>
      <c r="D4" s="1" t="s">
        <v>8</v>
      </c>
      <c r="E4" t="s">
        <v>11</v>
      </c>
      <c r="F4" t="s">
        <v>12</v>
      </c>
      <c r="G4">
        <v>39</v>
      </c>
      <c r="H4" t="str">
        <f>_xlfn.XLOOKUP($B4,Table24[Misname],Table24[Canonical],$B4)</f>
        <v>Stevens Point</v>
      </c>
      <c r="I4">
        <f>_xlfn.XLOOKUP($J4,Table4[ward_name],Table4[priority])</f>
        <v>44</v>
      </c>
      <c r="J4" t="str">
        <f t="shared" si="0"/>
        <v>Stevens Point - C - 0024</v>
      </c>
      <c r="K4" t="str">
        <f t="shared" si="1"/>
        <v>57880185-21152</v>
      </c>
      <c r="L4" t="str">
        <f t="shared" si="2"/>
        <v>Turf 02</v>
      </c>
      <c r="M4">
        <f t="shared" ref="M4:M67" si="4">$G4</f>
        <v>39</v>
      </c>
      <c r="N4" t="str">
        <f t="shared" si="3"/>
        <v>Stevens Point - C - 0024 - Turf 02</v>
      </c>
    </row>
    <row r="5" spans="1:14" x14ac:dyDescent="0.2">
      <c r="A5" t="s">
        <v>249</v>
      </c>
      <c r="B5" t="s">
        <v>6</v>
      </c>
      <c r="C5" t="s">
        <v>7</v>
      </c>
      <c r="D5" s="1" t="s">
        <v>8</v>
      </c>
      <c r="E5" t="s">
        <v>13</v>
      </c>
      <c r="F5" t="s">
        <v>14</v>
      </c>
      <c r="G5">
        <v>24</v>
      </c>
      <c r="H5" t="str">
        <f>_xlfn.XLOOKUP($B5,Table24[Misname],Table24[Canonical],$B5)</f>
        <v>Stevens Point</v>
      </c>
      <c r="I5">
        <f>_xlfn.XLOOKUP($J5,Table4[ward_name],Table4[priority])</f>
        <v>44</v>
      </c>
      <c r="J5" t="str">
        <f t="shared" si="0"/>
        <v>Stevens Point - C - 0024</v>
      </c>
      <c r="K5" t="str">
        <f t="shared" si="1"/>
        <v>57880186-85737</v>
      </c>
      <c r="L5" t="str">
        <f t="shared" si="2"/>
        <v>Turf 04</v>
      </c>
      <c r="M5">
        <f t="shared" si="4"/>
        <v>24</v>
      </c>
      <c r="N5" t="str">
        <f t="shared" si="3"/>
        <v>Stevens Point - C - 0024 - Turf 04</v>
      </c>
    </row>
    <row r="6" spans="1:14" x14ac:dyDescent="0.2">
      <c r="A6" t="s">
        <v>250</v>
      </c>
      <c r="B6" t="s">
        <v>15</v>
      </c>
      <c r="C6" t="s">
        <v>16</v>
      </c>
      <c r="D6" s="1" t="s">
        <v>17</v>
      </c>
      <c r="E6" t="s">
        <v>18</v>
      </c>
      <c r="F6" t="s">
        <v>10</v>
      </c>
      <c r="G6">
        <v>20</v>
      </c>
      <c r="H6" t="str">
        <f>_xlfn.XLOOKUP($B6,Table24[Misname],Table24[Canonical],$B6)</f>
        <v>Park Ridge</v>
      </c>
      <c r="I6">
        <f>_xlfn.XLOOKUP($J6,Table4[ward_name],Table4[priority])</f>
        <v>20</v>
      </c>
      <c r="J6" t="str">
        <f t="shared" si="0"/>
        <v>Park Ridge - V - 0001</v>
      </c>
      <c r="K6" t="str">
        <f t="shared" si="1"/>
        <v>57880061-78034</v>
      </c>
      <c r="L6" t="str">
        <f t="shared" si="2"/>
        <v>Turf 01</v>
      </c>
      <c r="M6">
        <f t="shared" si="4"/>
        <v>20</v>
      </c>
      <c r="N6" t="str">
        <f t="shared" si="3"/>
        <v>Park Ridge - V - 0001 - Turf 01</v>
      </c>
    </row>
    <row r="7" spans="1:14" x14ac:dyDescent="0.2">
      <c r="A7" t="s">
        <v>250</v>
      </c>
      <c r="B7" t="s">
        <v>15</v>
      </c>
      <c r="C7" t="s">
        <v>16</v>
      </c>
      <c r="D7" s="1" t="s">
        <v>17</v>
      </c>
      <c r="E7" t="s">
        <v>19</v>
      </c>
      <c r="F7" t="s">
        <v>12</v>
      </c>
      <c r="G7">
        <v>58</v>
      </c>
      <c r="H7" t="str">
        <f>_xlfn.XLOOKUP($B7,Table24[Misname],Table24[Canonical],$B7)</f>
        <v>Park Ridge</v>
      </c>
      <c r="I7">
        <f>_xlfn.XLOOKUP($J7,Table4[ward_name],Table4[priority])</f>
        <v>20</v>
      </c>
      <c r="J7" t="str">
        <f t="shared" si="0"/>
        <v>Park Ridge - V - 0001</v>
      </c>
      <c r="K7" t="str">
        <f t="shared" si="1"/>
        <v>57880062-70185</v>
      </c>
      <c r="L7" t="str">
        <f t="shared" si="2"/>
        <v>Turf 02</v>
      </c>
      <c r="M7">
        <f t="shared" si="4"/>
        <v>58</v>
      </c>
      <c r="N7" t="str">
        <f t="shared" si="3"/>
        <v>Park Ridge - V - 0001 - Turf 02</v>
      </c>
    </row>
    <row r="8" spans="1:14" x14ac:dyDescent="0.2">
      <c r="A8" t="s">
        <v>250</v>
      </c>
      <c r="B8" t="s">
        <v>15</v>
      </c>
      <c r="C8" t="s">
        <v>16</v>
      </c>
      <c r="D8" s="1" t="s">
        <v>17</v>
      </c>
      <c r="E8" t="s">
        <v>20</v>
      </c>
      <c r="F8" t="s">
        <v>21</v>
      </c>
      <c r="G8">
        <v>51</v>
      </c>
      <c r="H8" t="str">
        <f>_xlfn.XLOOKUP($B8,Table24[Misname],Table24[Canonical],$B8)</f>
        <v>Park Ridge</v>
      </c>
      <c r="I8">
        <f>_xlfn.XLOOKUP($J8,Table4[ward_name],Table4[priority])</f>
        <v>20</v>
      </c>
      <c r="J8" t="str">
        <f t="shared" si="0"/>
        <v>Park Ridge - V - 0001</v>
      </c>
      <c r="K8" t="str">
        <f t="shared" si="1"/>
        <v>57880063-87752</v>
      </c>
      <c r="L8" t="str">
        <f t="shared" si="2"/>
        <v>Turf 03</v>
      </c>
      <c r="M8">
        <f t="shared" si="4"/>
        <v>51</v>
      </c>
      <c r="N8" t="str">
        <f t="shared" si="3"/>
        <v>Park Ridge - V - 0001 - Turf 03</v>
      </c>
    </row>
    <row r="9" spans="1:14" x14ac:dyDescent="0.2">
      <c r="A9" t="s">
        <v>251</v>
      </c>
      <c r="B9" t="s">
        <v>22</v>
      </c>
      <c r="C9" t="s">
        <v>16</v>
      </c>
      <c r="D9" s="1" t="s">
        <v>23</v>
      </c>
      <c r="E9" t="s">
        <v>24</v>
      </c>
      <c r="F9" t="s">
        <v>10</v>
      </c>
      <c r="G9">
        <v>53</v>
      </c>
      <c r="H9" t="str">
        <f>_xlfn.XLOOKUP($B9,Table24[Misname],Table24[Canonical],$B9)</f>
        <v>Plover</v>
      </c>
      <c r="I9">
        <f>_xlfn.XLOOKUP($J9,Table4[ward_name],Table4[priority])</f>
        <v>46</v>
      </c>
      <c r="J9" t="str">
        <f t="shared" si="0"/>
        <v>Plover - V - 0007</v>
      </c>
      <c r="K9" t="str">
        <f t="shared" si="1"/>
        <v>57880246-51319</v>
      </c>
      <c r="L9" t="str">
        <f t="shared" si="2"/>
        <v>Turf 01</v>
      </c>
      <c r="M9">
        <f t="shared" si="4"/>
        <v>53</v>
      </c>
      <c r="N9" t="str">
        <f t="shared" si="3"/>
        <v>Plover - V - 0007 - Turf 01</v>
      </c>
    </row>
    <row r="10" spans="1:14" x14ac:dyDescent="0.2">
      <c r="A10" t="s">
        <v>251</v>
      </c>
      <c r="B10" t="s">
        <v>22</v>
      </c>
      <c r="C10" t="s">
        <v>16</v>
      </c>
      <c r="D10" s="1" t="s">
        <v>23</v>
      </c>
      <c r="E10" t="s">
        <v>25</v>
      </c>
      <c r="F10" t="s">
        <v>12</v>
      </c>
      <c r="G10">
        <v>39</v>
      </c>
      <c r="H10" t="str">
        <f>_xlfn.XLOOKUP($B10,Table24[Misname],Table24[Canonical],$B10)</f>
        <v>Plover</v>
      </c>
      <c r="I10">
        <f>_xlfn.XLOOKUP($J10,Table4[ward_name],Table4[priority])</f>
        <v>46</v>
      </c>
      <c r="J10" t="str">
        <f t="shared" si="0"/>
        <v>Plover - V - 0007</v>
      </c>
      <c r="K10" t="str">
        <f t="shared" si="1"/>
        <v>57880247-68885</v>
      </c>
      <c r="L10" t="str">
        <f t="shared" si="2"/>
        <v>Turf 02</v>
      </c>
      <c r="M10">
        <f t="shared" si="4"/>
        <v>39</v>
      </c>
      <c r="N10" t="str">
        <f t="shared" si="3"/>
        <v>Plover - V - 0007 - Turf 02</v>
      </c>
    </row>
    <row r="11" spans="1:14" x14ac:dyDescent="0.2">
      <c r="A11" t="s">
        <v>251</v>
      </c>
      <c r="B11" t="s">
        <v>22</v>
      </c>
      <c r="C11" t="s">
        <v>16</v>
      </c>
      <c r="D11" s="1" t="s">
        <v>23</v>
      </c>
      <c r="E11" t="s">
        <v>26</v>
      </c>
      <c r="F11" t="s">
        <v>21</v>
      </c>
      <c r="G11">
        <v>27</v>
      </c>
      <c r="H11" t="str">
        <f>_xlfn.XLOOKUP($B11,Table24[Misname],Table24[Canonical],$B11)</f>
        <v>Plover</v>
      </c>
      <c r="I11">
        <f>_xlfn.XLOOKUP($J11,Table4[ward_name],Table4[priority])</f>
        <v>46</v>
      </c>
      <c r="J11" t="str">
        <f t="shared" si="0"/>
        <v>Plover - V - 0007</v>
      </c>
      <c r="K11" t="str">
        <f t="shared" si="1"/>
        <v>57880248-86452</v>
      </c>
      <c r="L11" t="str">
        <f t="shared" si="2"/>
        <v>Turf 03</v>
      </c>
      <c r="M11">
        <f t="shared" si="4"/>
        <v>27</v>
      </c>
      <c r="N11" t="str">
        <f t="shared" si="3"/>
        <v>Plover - V - 0007 - Turf 03</v>
      </c>
    </row>
    <row r="12" spans="1:14" x14ac:dyDescent="0.2">
      <c r="A12" t="s">
        <v>251</v>
      </c>
      <c r="B12" t="s">
        <v>22</v>
      </c>
      <c r="C12" t="s">
        <v>16</v>
      </c>
      <c r="D12" s="1" t="s">
        <v>23</v>
      </c>
      <c r="E12" t="s">
        <v>27</v>
      </c>
      <c r="F12" t="s">
        <v>14</v>
      </c>
      <c r="G12">
        <v>42</v>
      </c>
      <c r="H12" t="str">
        <f>_xlfn.XLOOKUP($B12,Table24[Misname],Table24[Canonical],$B12)</f>
        <v>Plover</v>
      </c>
      <c r="I12">
        <f>_xlfn.XLOOKUP($J12,Table4[ward_name],Table4[priority])</f>
        <v>46</v>
      </c>
      <c r="J12" t="str">
        <f t="shared" si="0"/>
        <v>Plover - V - 0007</v>
      </c>
      <c r="K12" t="str">
        <f t="shared" si="1"/>
        <v>57880249-14019</v>
      </c>
      <c r="L12" t="str">
        <f t="shared" si="2"/>
        <v>Turf 04</v>
      </c>
      <c r="M12">
        <f t="shared" si="4"/>
        <v>42</v>
      </c>
      <c r="N12" t="str">
        <f t="shared" si="3"/>
        <v>Plover - V - 0007 - Turf 04</v>
      </c>
    </row>
    <row r="13" spans="1:14" x14ac:dyDescent="0.2">
      <c r="A13" t="s">
        <v>252</v>
      </c>
      <c r="B13" t="s">
        <v>6</v>
      </c>
      <c r="D13" s="1" t="s">
        <v>28</v>
      </c>
      <c r="E13" t="s">
        <v>29</v>
      </c>
      <c r="F13" t="s">
        <v>10</v>
      </c>
      <c r="G13">
        <v>47</v>
      </c>
      <c r="H13" t="str">
        <f>_xlfn.XLOOKUP($B13,Table24[Misname],Table24[Canonical],$B13)</f>
        <v>Stevens Point</v>
      </c>
      <c r="I13" t="e">
        <f>_xlfn.XLOOKUP($J13,Table4[ward_name],Table4[priority])</f>
        <v>#N/A</v>
      </c>
      <c r="J13" t="str">
        <f t="shared" si="0"/>
        <v>Stevens Point -  - 0017</v>
      </c>
      <c r="K13" t="str">
        <f t="shared" si="1"/>
        <v>57880209-74562</v>
      </c>
      <c r="L13" t="str">
        <f t="shared" si="2"/>
        <v>Turf 01</v>
      </c>
      <c r="M13">
        <f t="shared" si="4"/>
        <v>47</v>
      </c>
      <c r="N13" t="str">
        <f t="shared" si="3"/>
        <v>Stevens Point -  - 0017 - Turf 01</v>
      </c>
    </row>
    <row r="14" spans="1:14" x14ac:dyDescent="0.2">
      <c r="A14" t="s">
        <v>252</v>
      </c>
      <c r="B14" t="s">
        <v>6</v>
      </c>
      <c r="D14" s="1" t="s">
        <v>28</v>
      </c>
      <c r="E14" t="s">
        <v>30</v>
      </c>
      <c r="F14" t="s">
        <v>12</v>
      </c>
      <c r="G14">
        <v>29</v>
      </c>
      <c r="H14" t="str">
        <f>_xlfn.XLOOKUP($B14,Table24[Misname],Table24[Canonical],$B14)</f>
        <v>Stevens Point</v>
      </c>
      <c r="I14" t="e">
        <f>_xlfn.XLOOKUP($J14,Table4[ward_name],Table4[priority])</f>
        <v>#N/A</v>
      </c>
      <c r="J14" t="str">
        <f t="shared" si="0"/>
        <v>Stevens Point -  - 0017</v>
      </c>
      <c r="K14" t="str">
        <f t="shared" si="1"/>
        <v>57880210-19695</v>
      </c>
      <c r="L14" t="str">
        <f t="shared" si="2"/>
        <v>Turf 02</v>
      </c>
      <c r="M14">
        <f t="shared" si="4"/>
        <v>29</v>
      </c>
      <c r="N14" t="str">
        <f t="shared" si="3"/>
        <v>Stevens Point -  - 0017 - Turf 02</v>
      </c>
    </row>
    <row r="15" spans="1:14" x14ac:dyDescent="0.2">
      <c r="A15" t="s">
        <v>252</v>
      </c>
      <c r="B15" t="s">
        <v>6</v>
      </c>
      <c r="D15" s="1" t="s">
        <v>28</v>
      </c>
      <c r="E15" t="s">
        <v>31</v>
      </c>
      <c r="F15" t="s">
        <v>21</v>
      </c>
      <c r="G15">
        <v>27</v>
      </c>
      <c r="H15" t="str">
        <f>_xlfn.XLOOKUP($B15,Table24[Misname],Table24[Canonical],$B15)</f>
        <v>Stevens Point</v>
      </c>
      <c r="I15" t="e">
        <f>_xlfn.XLOOKUP($J15,Table4[ward_name],Table4[priority])</f>
        <v>#N/A</v>
      </c>
      <c r="J15" t="str">
        <f t="shared" si="0"/>
        <v>Stevens Point -  - 0017</v>
      </c>
      <c r="K15" t="str">
        <f t="shared" si="1"/>
        <v>57880211-11847</v>
      </c>
      <c r="L15" t="str">
        <f t="shared" si="2"/>
        <v>Turf 03</v>
      </c>
      <c r="M15">
        <f t="shared" si="4"/>
        <v>27</v>
      </c>
      <c r="N15" t="str">
        <f t="shared" si="3"/>
        <v>Stevens Point -  - 0017 - Turf 03</v>
      </c>
    </row>
    <row r="16" spans="1:14" x14ac:dyDescent="0.2">
      <c r="A16" t="s">
        <v>253</v>
      </c>
      <c r="B16" t="s">
        <v>6</v>
      </c>
      <c r="C16" t="s">
        <v>7</v>
      </c>
      <c r="D16" s="1" t="s">
        <v>32</v>
      </c>
      <c r="E16" t="s">
        <v>33</v>
      </c>
      <c r="F16" t="s">
        <v>10</v>
      </c>
      <c r="G16">
        <v>36</v>
      </c>
      <c r="H16" t="str">
        <f>_xlfn.XLOOKUP($B16,Table24[Misname],Table24[Canonical],$B16)</f>
        <v>Stevens Point</v>
      </c>
      <c r="I16">
        <f>_xlfn.XLOOKUP($J16,Table4[ward_name],Table4[priority])</f>
        <v>22</v>
      </c>
      <c r="J16" t="str">
        <f t="shared" si="0"/>
        <v>Stevens Point - C - 0023</v>
      </c>
      <c r="K16" t="str">
        <f t="shared" si="1"/>
        <v>57880093-53805</v>
      </c>
      <c r="L16" t="str">
        <f t="shared" si="2"/>
        <v>Turf 01</v>
      </c>
      <c r="M16">
        <f t="shared" si="4"/>
        <v>36</v>
      </c>
      <c r="N16" t="str">
        <f t="shared" si="3"/>
        <v>Stevens Point - C - 0023 - Turf 01</v>
      </c>
    </row>
    <row r="17" spans="1:14" x14ac:dyDescent="0.2">
      <c r="A17" t="s">
        <v>253</v>
      </c>
      <c r="B17" t="s">
        <v>6</v>
      </c>
      <c r="C17" t="s">
        <v>7</v>
      </c>
      <c r="D17" s="1" t="s">
        <v>32</v>
      </c>
      <c r="E17" t="s">
        <v>34</v>
      </c>
      <c r="F17" t="s">
        <v>12</v>
      </c>
      <c r="G17">
        <v>34</v>
      </c>
      <c r="H17" t="str">
        <f>_xlfn.XLOOKUP($B17,Table24[Misname],Table24[Canonical],$B17)</f>
        <v>Stevens Point</v>
      </c>
      <c r="I17">
        <f>_xlfn.XLOOKUP($J17,Table4[ward_name],Table4[priority])</f>
        <v>22</v>
      </c>
      <c r="J17" t="str">
        <f t="shared" si="0"/>
        <v>Stevens Point - C - 0023</v>
      </c>
      <c r="K17" t="str">
        <f t="shared" si="1"/>
        <v>57880094-45957</v>
      </c>
      <c r="L17" t="str">
        <f t="shared" si="2"/>
        <v>Turf 02</v>
      </c>
      <c r="M17">
        <f t="shared" si="4"/>
        <v>34</v>
      </c>
      <c r="N17" t="str">
        <f t="shared" si="3"/>
        <v>Stevens Point - C - 0023 - Turf 02</v>
      </c>
    </row>
    <row r="18" spans="1:14" x14ac:dyDescent="0.2">
      <c r="A18" t="s">
        <v>253</v>
      </c>
      <c r="B18" t="s">
        <v>6</v>
      </c>
      <c r="C18" t="s">
        <v>7</v>
      </c>
      <c r="D18" s="1" t="s">
        <v>32</v>
      </c>
      <c r="E18" t="s">
        <v>35</v>
      </c>
      <c r="F18" t="s">
        <v>21</v>
      </c>
      <c r="G18">
        <v>38</v>
      </c>
      <c r="H18" t="str">
        <f>_xlfn.XLOOKUP($B18,Table24[Misname],Table24[Canonical],$B18)</f>
        <v>Stevens Point</v>
      </c>
      <c r="I18">
        <f>_xlfn.XLOOKUP($J18,Table4[ward_name],Table4[priority])</f>
        <v>22</v>
      </c>
      <c r="J18" t="str">
        <f t="shared" si="0"/>
        <v>Stevens Point - C - 0023</v>
      </c>
      <c r="K18" t="str">
        <f t="shared" si="1"/>
        <v>57880095-81090</v>
      </c>
      <c r="L18" t="str">
        <f t="shared" si="2"/>
        <v>Turf 03</v>
      </c>
      <c r="M18">
        <f t="shared" si="4"/>
        <v>38</v>
      </c>
      <c r="N18" t="str">
        <f t="shared" si="3"/>
        <v>Stevens Point - C - 0023 - Turf 03</v>
      </c>
    </row>
    <row r="19" spans="1:14" x14ac:dyDescent="0.2">
      <c r="A19" t="s">
        <v>254</v>
      </c>
      <c r="B19" t="s">
        <v>6</v>
      </c>
      <c r="C19" t="s">
        <v>7</v>
      </c>
      <c r="D19" s="1" t="s">
        <v>36</v>
      </c>
      <c r="E19" t="s">
        <v>37</v>
      </c>
      <c r="F19" t="s">
        <v>10</v>
      </c>
      <c r="G19">
        <v>39</v>
      </c>
      <c r="H19" t="str">
        <f>_xlfn.XLOOKUP($B19,Table24[Misname],Table24[Canonical],$B19)</f>
        <v>Stevens Point</v>
      </c>
      <c r="I19">
        <f>_xlfn.XLOOKUP($J19,Table4[ward_name],Table4[priority])</f>
        <v>25</v>
      </c>
      <c r="J19" t="str">
        <f t="shared" si="0"/>
        <v>Stevens Point - C - 0028</v>
      </c>
      <c r="K19" t="str">
        <f t="shared" si="1"/>
        <v>57880217-61988</v>
      </c>
      <c r="L19" t="str">
        <f t="shared" si="2"/>
        <v>Turf 01</v>
      </c>
      <c r="M19">
        <f t="shared" si="4"/>
        <v>39</v>
      </c>
      <c r="N19" t="str">
        <f t="shared" si="3"/>
        <v>Stevens Point - C - 0028 - Turf 01</v>
      </c>
    </row>
    <row r="20" spans="1:14" x14ac:dyDescent="0.2">
      <c r="A20" t="s">
        <v>254</v>
      </c>
      <c r="B20" t="s">
        <v>6</v>
      </c>
      <c r="C20" t="s">
        <v>7</v>
      </c>
      <c r="D20" s="1" t="s">
        <v>36</v>
      </c>
      <c r="E20" t="s">
        <v>38</v>
      </c>
      <c r="F20" t="s">
        <v>12</v>
      </c>
      <c r="G20">
        <v>40</v>
      </c>
      <c r="H20" t="str">
        <f>_xlfn.XLOOKUP($B20,Table24[Misname],Table24[Canonical],$B20)</f>
        <v>Stevens Point</v>
      </c>
      <c r="I20">
        <f>_xlfn.XLOOKUP($J20,Table4[ward_name],Table4[priority])</f>
        <v>25</v>
      </c>
      <c r="J20" t="str">
        <f t="shared" si="0"/>
        <v>Stevens Point - C - 0028</v>
      </c>
      <c r="K20" t="str">
        <f t="shared" si="1"/>
        <v>57880218-21847</v>
      </c>
      <c r="L20" t="str">
        <f t="shared" si="2"/>
        <v>Turf 02</v>
      </c>
      <c r="M20">
        <f t="shared" si="4"/>
        <v>40</v>
      </c>
      <c r="N20" t="str">
        <f t="shared" si="3"/>
        <v>Stevens Point - C - 0028 - Turf 02</v>
      </c>
    </row>
    <row r="21" spans="1:14" x14ac:dyDescent="0.2">
      <c r="A21" t="s">
        <v>254</v>
      </c>
      <c r="B21" t="s">
        <v>6</v>
      </c>
      <c r="C21" t="s">
        <v>7</v>
      </c>
      <c r="D21" s="1" t="s">
        <v>36</v>
      </c>
      <c r="E21" t="s">
        <v>39</v>
      </c>
      <c r="F21" t="s">
        <v>21</v>
      </c>
      <c r="G21">
        <v>48</v>
      </c>
      <c r="H21" t="str">
        <f>_xlfn.XLOOKUP($B21,Table24[Misname],Table24[Canonical],$B21)</f>
        <v>Stevens Point</v>
      </c>
      <c r="I21">
        <f>_xlfn.XLOOKUP($J21,Table4[ward_name],Table4[priority])</f>
        <v>25</v>
      </c>
      <c r="J21" t="str">
        <f t="shared" si="0"/>
        <v>Stevens Point - C - 0028</v>
      </c>
      <c r="K21" t="str">
        <f t="shared" si="1"/>
        <v>57880219-56980</v>
      </c>
      <c r="L21" t="str">
        <f t="shared" si="2"/>
        <v>Turf 03</v>
      </c>
      <c r="M21">
        <f t="shared" si="4"/>
        <v>48</v>
      </c>
      <c r="N21" t="str">
        <f t="shared" si="3"/>
        <v>Stevens Point - C - 0028 - Turf 03</v>
      </c>
    </row>
    <row r="22" spans="1:14" x14ac:dyDescent="0.2">
      <c r="A22" t="s">
        <v>254</v>
      </c>
      <c r="B22" t="s">
        <v>6</v>
      </c>
      <c r="C22" t="s">
        <v>7</v>
      </c>
      <c r="D22" s="1" t="s">
        <v>36</v>
      </c>
      <c r="E22" t="s">
        <v>40</v>
      </c>
      <c r="F22" t="s">
        <v>14</v>
      </c>
      <c r="G22">
        <v>44</v>
      </c>
      <c r="H22" t="str">
        <f>_xlfn.XLOOKUP($B22,Table24[Misname],Table24[Canonical],$B22)</f>
        <v>Stevens Point</v>
      </c>
      <c r="I22">
        <f>_xlfn.XLOOKUP($J22,Table4[ward_name],Table4[priority])</f>
        <v>25</v>
      </c>
      <c r="J22" t="str">
        <f t="shared" si="0"/>
        <v>Stevens Point - C - 0028</v>
      </c>
      <c r="K22" t="str">
        <f t="shared" si="1"/>
        <v>57880220-34406</v>
      </c>
      <c r="L22" t="str">
        <f t="shared" si="2"/>
        <v>Turf 04</v>
      </c>
      <c r="M22">
        <f t="shared" si="4"/>
        <v>44</v>
      </c>
      <c r="N22" t="str">
        <f t="shared" si="3"/>
        <v>Stevens Point - C - 0028 - Turf 04</v>
      </c>
    </row>
    <row r="23" spans="1:14" x14ac:dyDescent="0.2">
      <c r="A23" t="s">
        <v>255</v>
      </c>
      <c r="B23" t="s">
        <v>6</v>
      </c>
      <c r="C23" t="s">
        <v>7</v>
      </c>
      <c r="D23" s="1" t="s">
        <v>23</v>
      </c>
      <c r="E23" t="s">
        <v>41</v>
      </c>
      <c r="F23" t="s">
        <v>10</v>
      </c>
      <c r="G23">
        <v>47</v>
      </c>
      <c r="H23" t="str">
        <f>_xlfn.XLOOKUP($B23,Table24[Misname],Table24[Canonical],$B23)</f>
        <v>Stevens Point</v>
      </c>
      <c r="I23">
        <f>_xlfn.XLOOKUP($J23,Table4[ward_name],Table4[priority])</f>
        <v>10</v>
      </c>
      <c r="J23" t="str">
        <f t="shared" si="0"/>
        <v>Stevens Point - C - 0007</v>
      </c>
      <c r="K23" t="str">
        <f t="shared" si="1"/>
        <v>57880104-48723</v>
      </c>
      <c r="L23" t="str">
        <f t="shared" si="2"/>
        <v>Turf 01</v>
      </c>
      <c r="M23">
        <f t="shared" si="4"/>
        <v>47</v>
      </c>
      <c r="N23" t="str">
        <f t="shared" si="3"/>
        <v>Stevens Point - C - 0007 - Turf 01</v>
      </c>
    </row>
    <row r="24" spans="1:14" x14ac:dyDescent="0.2">
      <c r="A24" t="s">
        <v>256</v>
      </c>
      <c r="B24" t="s">
        <v>42</v>
      </c>
      <c r="C24" t="s">
        <v>16</v>
      </c>
      <c r="D24" s="1" t="s">
        <v>43</v>
      </c>
      <c r="E24" t="s">
        <v>44</v>
      </c>
      <c r="F24" t="s">
        <v>10</v>
      </c>
      <c r="G24">
        <v>47</v>
      </c>
      <c r="H24" t="str">
        <f>_xlfn.XLOOKUP($B24,Table24[Misname],Table24[Canonical],$B24)</f>
        <v>Whiting</v>
      </c>
      <c r="I24">
        <f>_xlfn.XLOOKUP($J24,Table4[ward_name],Table4[priority])</f>
        <v>35</v>
      </c>
      <c r="J24" t="str">
        <f t="shared" si="0"/>
        <v>Whiting - V - 0002</v>
      </c>
      <c r="K24" t="str">
        <f t="shared" si="1"/>
        <v>57880214-28528</v>
      </c>
      <c r="L24" t="str">
        <f t="shared" si="2"/>
        <v>Turf 01</v>
      </c>
      <c r="M24">
        <f t="shared" si="4"/>
        <v>47</v>
      </c>
      <c r="N24" t="str">
        <f t="shared" si="3"/>
        <v>Whiting - V - 0002 - Turf 01</v>
      </c>
    </row>
    <row r="25" spans="1:14" x14ac:dyDescent="0.2">
      <c r="A25" t="s">
        <v>256</v>
      </c>
      <c r="B25" t="s">
        <v>42</v>
      </c>
      <c r="C25" t="s">
        <v>16</v>
      </c>
      <c r="D25" s="1" t="s">
        <v>43</v>
      </c>
      <c r="E25" t="s">
        <v>45</v>
      </c>
      <c r="F25" t="s">
        <v>12</v>
      </c>
      <c r="G25">
        <v>33</v>
      </c>
      <c r="H25" t="str">
        <f>_xlfn.XLOOKUP($B25,Table24[Misname],Table24[Canonical],$B25)</f>
        <v>Whiting</v>
      </c>
      <c r="I25">
        <f>_xlfn.XLOOKUP($J25,Table4[ward_name],Table4[priority])</f>
        <v>35</v>
      </c>
      <c r="J25" t="str">
        <f t="shared" si="0"/>
        <v>Whiting - V - 0002</v>
      </c>
      <c r="K25" t="str">
        <f t="shared" si="1"/>
        <v>57880215-78387</v>
      </c>
      <c r="L25" t="str">
        <f t="shared" si="2"/>
        <v>Turf 02</v>
      </c>
      <c r="M25">
        <f t="shared" si="4"/>
        <v>33</v>
      </c>
      <c r="N25" t="str">
        <f t="shared" si="3"/>
        <v>Whiting - V - 0002 - Turf 02</v>
      </c>
    </row>
    <row r="26" spans="1:14" x14ac:dyDescent="0.2">
      <c r="A26" t="s">
        <v>256</v>
      </c>
      <c r="B26" t="s">
        <v>42</v>
      </c>
      <c r="C26" t="s">
        <v>16</v>
      </c>
      <c r="D26" s="1" t="s">
        <v>43</v>
      </c>
      <c r="E26" t="s">
        <v>46</v>
      </c>
      <c r="F26" t="s">
        <v>21</v>
      </c>
      <c r="G26">
        <v>37</v>
      </c>
      <c r="H26" t="str">
        <f>_xlfn.XLOOKUP($B26,Table24[Misname],Table24[Canonical],$B26)</f>
        <v>Whiting</v>
      </c>
      <c r="I26">
        <f>_xlfn.XLOOKUP($J26,Table4[ward_name],Table4[priority])</f>
        <v>35</v>
      </c>
      <c r="J26" t="str">
        <f t="shared" si="0"/>
        <v>Whiting - V - 0002</v>
      </c>
      <c r="K26" t="str">
        <f t="shared" si="1"/>
        <v>57880216-95954</v>
      </c>
      <c r="L26" t="str">
        <f t="shared" si="2"/>
        <v>Turf 03</v>
      </c>
      <c r="M26">
        <f t="shared" si="4"/>
        <v>37</v>
      </c>
      <c r="N26" t="str">
        <f t="shared" si="3"/>
        <v>Whiting - V - 0002 - Turf 03</v>
      </c>
    </row>
    <row r="27" spans="1:14" x14ac:dyDescent="0.2">
      <c r="A27" t="s">
        <v>257</v>
      </c>
      <c r="B27" t="s">
        <v>47</v>
      </c>
      <c r="C27" t="s">
        <v>7</v>
      </c>
      <c r="D27" s="1" t="s">
        <v>17</v>
      </c>
      <c r="E27" t="s">
        <v>48</v>
      </c>
      <c r="F27" t="s">
        <v>10</v>
      </c>
      <c r="G27">
        <v>32</v>
      </c>
      <c r="H27" t="str">
        <f>_xlfn.XLOOKUP($B27,Table24[Misname],Table24[Canonical],$B27)</f>
        <v>Stevens Point</v>
      </c>
      <c r="I27">
        <f>_xlfn.XLOOKUP($J27,Table4[ward_name],Table4[priority])</f>
        <v>5</v>
      </c>
      <c r="J27" t="str">
        <f t="shared" si="0"/>
        <v>Stevens Point - C - 0001</v>
      </c>
      <c r="K27" t="str">
        <f t="shared" si="1"/>
        <v>57880270-66137</v>
      </c>
      <c r="L27" t="str">
        <f t="shared" si="2"/>
        <v>Turf 01</v>
      </c>
      <c r="M27">
        <f t="shared" si="4"/>
        <v>32</v>
      </c>
      <c r="N27" t="str">
        <f t="shared" si="3"/>
        <v>Stevens Point - C - 0001 - Turf 01</v>
      </c>
    </row>
    <row r="28" spans="1:14" x14ac:dyDescent="0.2">
      <c r="A28" t="s">
        <v>257</v>
      </c>
      <c r="B28" t="s">
        <v>47</v>
      </c>
      <c r="C28" t="s">
        <v>7</v>
      </c>
      <c r="D28" s="1" t="s">
        <v>17</v>
      </c>
      <c r="E28" t="s">
        <v>49</v>
      </c>
      <c r="F28" t="s">
        <v>12</v>
      </c>
      <c r="G28">
        <v>51</v>
      </c>
      <c r="H28" t="str">
        <f>_xlfn.XLOOKUP($B28,Table24[Misname],Table24[Canonical],$B28)</f>
        <v>Stevens Point</v>
      </c>
      <c r="I28">
        <f>_xlfn.XLOOKUP($J28,Table4[ward_name],Table4[priority])</f>
        <v>5</v>
      </c>
      <c r="J28" t="str">
        <f t="shared" si="0"/>
        <v>Stevens Point - C - 0001</v>
      </c>
      <c r="K28" t="str">
        <f t="shared" si="1"/>
        <v>57880271-83704</v>
      </c>
      <c r="L28" t="str">
        <f t="shared" si="2"/>
        <v>Turf 02</v>
      </c>
      <c r="M28">
        <f t="shared" si="4"/>
        <v>51</v>
      </c>
      <c r="N28" t="str">
        <f t="shared" si="3"/>
        <v>Stevens Point - C - 0001 - Turf 02</v>
      </c>
    </row>
    <row r="29" spans="1:14" x14ac:dyDescent="0.2">
      <c r="A29" t="s">
        <v>257</v>
      </c>
      <c r="B29" t="s">
        <v>47</v>
      </c>
      <c r="C29" t="s">
        <v>7</v>
      </c>
      <c r="D29" s="1" t="s">
        <v>17</v>
      </c>
      <c r="E29" t="s">
        <v>50</v>
      </c>
      <c r="F29" t="s">
        <v>21</v>
      </c>
      <c r="G29">
        <v>49</v>
      </c>
      <c r="H29" t="str">
        <f>_xlfn.XLOOKUP($B29,Table24[Misname],Table24[Canonical],$B29)</f>
        <v>Stevens Point</v>
      </c>
      <c r="I29">
        <f>_xlfn.XLOOKUP($J29,Table4[ward_name],Table4[priority])</f>
        <v>5</v>
      </c>
      <c r="J29" t="str">
        <f t="shared" si="0"/>
        <v>Stevens Point - C - 0001</v>
      </c>
      <c r="K29" t="str">
        <f t="shared" si="1"/>
        <v>57880272-11271</v>
      </c>
      <c r="L29" t="str">
        <f t="shared" si="2"/>
        <v>Turf 03</v>
      </c>
      <c r="M29">
        <f t="shared" si="4"/>
        <v>49</v>
      </c>
      <c r="N29" t="str">
        <f t="shared" si="3"/>
        <v>Stevens Point - C - 0001 - Turf 03</v>
      </c>
    </row>
    <row r="30" spans="1:14" x14ac:dyDescent="0.2">
      <c r="A30" t="s">
        <v>258</v>
      </c>
      <c r="B30" t="s">
        <v>6</v>
      </c>
      <c r="C30" t="s">
        <v>7</v>
      </c>
      <c r="D30" s="1" t="s">
        <v>51</v>
      </c>
      <c r="E30" t="s">
        <v>52</v>
      </c>
      <c r="F30" t="s">
        <v>10</v>
      </c>
      <c r="G30">
        <v>44</v>
      </c>
      <c r="H30" t="str">
        <f>_xlfn.XLOOKUP($B30,Table24[Misname],Table24[Canonical],$B30)</f>
        <v>Stevens Point</v>
      </c>
      <c r="I30">
        <f>_xlfn.XLOOKUP($J30,Table4[ward_name],Table4[priority])</f>
        <v>31</v>
      </c>
      <c r="J30" t="str">
        <f t="shared" si="0"/>
        <v>Stevens Point - C - 0020</v>
      </c>
      <c r="K30" t="str">
        <f t="shared" si="1"/>
        <v>57880100-38788</v>
      </c>
      <c r="L30" t="str">
        <f t="shared" si="2"/>
        <v>Turf 01</v>
      </c>
      <c r="M30">
        <f t="shared" si="4"/>
        <v>44</v>
      </c>
      <c r="N30" t="str">
        <f t="shared" si="3"/>
        <v>Stevens Point - C - 0020 - Turf 01</v>
      </c>
    </row>
    <row r="31" spans="1:14" x14ac:dyDescent="0.2">
      <c r="A31" t="s">
        <v>258</v>
      </c>
      <c r="B31" t="s">
        <v>6</v>
      </c>
      <c r="C31" t="s">
        <v>7</v>
      </c>
      <c r="D31" s="1" t="s">
        <v>51</v>
      </c>
      <c r="E31" t="s">
        <v>53</v>
      </c>
      <c r="F31" t="s">
        <v>12</v>
      </c>
      <c r="G31">
        <v>38</v>
      </c>
      <c r="H31" t="str">
        <f>_xlfn.XLOOKUP($B31,Table24[Misname],Table24[Canonical],$B31)</f>
        <v>Stevens Point</v>
      </c>
      <c r="I31">
        <f>_xlfn.XLOOKUP($J31,Table4[ward_name],Table4[priority])</f>
        <v>31</v>
      </c>
      <c r="J31" t="str">
        <f t="shared" si="0"/>
        <v>Stevens Point - C - 0020</v>
      </c>
      <c r="K31" t="str">
        <f t="shared" si="1"/>
        <v>57880101-51347</v>
      </c>
      <c r="L31" t="str">
        <f t="shared" si="2"/>
        <v>Turf 02</v>
      </c>
      <c r="M31">
        <f t="shared" si="4"/>
        <v>38</v>
      </c>
      <c r="N31" t="str">
        <f t="shared" si="3"/>
        <v>Stevens Point - C - 0020 - Turf 02</v>
      </c>
    </row>
    <row r="32" spans="1:14" x14ac:dyDescent="0.2">
      <c r="A32" t="s">
        <v>258</v>
      </c>
      <c r="B32" t="s">
        <v>6</v>
      </c>
      <c r="C32" t="s">
        <v>7</v>
      </c>
      <c r="D32" s="1" t="s">
        <v>51</v>
      </c>
      <c r="E32" t="s">
        <v>54</v>
      </c>
      <c r="F32" t="s">
        <v>21</v>
      </c>
      <c r="G32">
        <v>42</v>
      </c>
      <c r="H32" t="str">
        <f>_xlfn.XLOOKUP($B32,Table24[Misname],Table24[Canonical],$B32)</f>
        <v>Stevens Point</v>
      </c>
      <c r="I32">
        <f>_xlfn.XLOOKUP($J32,Table4[ward_name],Table4[priority])</f>
        <v>31</v>
      </c>
      <c r="J32" t="str">
        <f t="shared" si="0"/>
        <v>Stevens Point - C - 0020</v>
      </c>
      <c r="K32" t="str">
        <f t="shared" si="1"/>
        <v>57880102-25932</v>
      </c>
      <c r="L32" t="str">
        <f t="shared" si="2"/>
        <v>Turf 03</v>
      </c>
      <c r="M32">
        <f t="shared" si="4"/>
        <v>42</v>
      </c>
      <c r="N32" t="str">
        <f t="shared" si="3"/>
        <v>Stevens Point - C - 0020 - Turf 03</v>
      </c>
    </row>
    <row r="33" spans="1:14" x14ac:dyDescent="0.2">
      <c r="A33" t="s">
        <v>259</v>
      </c>
      <c r="B33" t="s">
        <v>47</v>
      </c>
      <c r="C33" t="s">
        <v>7</v>
      </c>
      <c r="D33" s="1" t="s">
        <v>55</v>
      </c>
      <c r="E33" t="s">
        <v>56</v>
      </c>
      <c r="F33" t="s">
        <v>10</v>
      </c>
      <c r="G33">
        <v>46</v>
      </c>
      <c r="H33" t="str">
        <f>_xlfn.XLOOKUP($B33,Table24[Misname],Table24[Canonical],$B33)</f>
        <v>Stevens Point</v>
      </c>
      <c r="I33">
        <f>_xlfn.XLOOKUP($J33,Table4[ward_name],Table4[priority])</f>
        <v>7</v>
      </c>
      <c r="J33" t="str">
        <f t="shared" si="0"/>
        <v>Stevens Point - C - 0014</v>
      </c>
      <c r="K33" t="str">
        <f t="shared" si="1"/>
        <v>57880288-54186</v>
      </c>
      <c r="L33" t="str">
        <f t="shared" si="2"/>
        <v>Turf 01</v>
      </c>
      <c r="M33">
        <f t="shared" si="4"/>
        <v>46</v>
      </c>
      <c r="N33" t="str">
        <f t="shared" si="3"/>
        <v>Stevens Point - C - 0014 - Turf 01</v>
      </c>
    </row>
    <row r="34" spans="1:14" x14ac:dyDescent="0.2">
      <c r="A34" t="s">
        <v>259</v>
      </c>
      <c r="B34" t="s">
        <v>47</v>
      </c>
      <c r="C34" t="s">
        <v>7</v>
      </c>
      <c r="D34" s="1" t="s">
        <v>55</v>
      </c>
      <c r="E34" t="s">
        <v>57</v>
      </c>
      <c r="F34" t="s">
        <v>12</v>
      </c>
      <c r="G34">
        <v>41</v>
      </c>
      <c r="H34" t="str">
        <f>_xlfn.XLOOKUP($B34,Table24[Misname],Table24[Canonical],$B34)</f>
        <v>Stevens Point</v>
      </c>
      <c r="I34">
        <f>_xlfn.XLOOKUP($J34,Table4[ward_name],Table4[priority])</f>
        <v>7</v>
      </c>
      <c r="J34" t="str">
        <f t="shared" si="0"/>
        <v>Stevens Point - C - 0014</v>
      </c>
      <c r="K34" t="str">
        <f t="shared" si="1"/>
        <v>57880289-71752</v>
      </c>
      <c r="L34" t="str">
        <f t="shared" si="2"/>
        <v>Turf 02</v>
      </c>
      <c r="M34">
        <f t="shared" si="4"/>
        <v>41</v>
      </c>
      <c r="N34" t="str">
        <f t="shared" si="3"/>
        <v>Stevens Point - C - 0014 - Turf 02</v>
      </c>
    </row>
    <row r="35" spans="1:14" x14ac:dyDescent="0.2">
      <c r="A35" t="s">
        <v>259</v>
      </c>
      <c r="B35" t="s">
        <v>47</v>
      </c>
      <c r="C35" t="s">
        <v>7</v>
      </c>
      <c r="D35" s="1" t="s">
        <v>55</v>
      </c>
      <c r="E35" t="s">
        <v>58</v>
      </c>
      <c r="F35" t="s">
        <v>21</v>
      </c>
      <c r="G35">
        <v>39</v>
      </c>
      <c r="H35" t="str">
        <f>_xlfn.XLOOKUP($B35,Table24[Misname],Table24[Canonical],$B35)</f>
        <v>Stevens Point</v>
      </c>
      <c r="I35">
        <f>_xlfn.XLOOKUP($J35,Table4[ward_name],Table4[priority])</f>
        <v>7</v>
      </c>
      <c r="J35" t="str">
        <f t="shared" ref="J35:J66" si="5">$H35&amp;" - "&amp;$C35&amp;" - "&amp;$D35</f>
        <v>Stevens Point - C - 0014</v>
      </c>
      <c r="K35" t="str">
        <f t="shared" ref="K35:K66" si="6">$E35</f>
        <v>57880291-89319</v>
      </c>
      <c r="L35" t="str">
        <f t="shared" ref="L35:L66" si="7">$F35</f>
        <v>Turf 03</v>
      </c>
      <c r="M35">
        <f t="shared" si="4"/>
        <v>39</v>
      </c>
      <c r="N35" t="str">
        <f t="shared" ref="N35:N66" si="8">$J35&amp;" - "&amp;$L35</f>
        <v>Stevens Point - C - 0014 - Turf 03</v>
      </c>
    </row>
    <row r="36" spans="1:14" x14ac:dyDescent="0.2">
      <c r="A36" t="s">
        <v>259</v>
      </c>
      <c r="B36" t="s">
        <v>47</v>
      </c>
      <c r="C36" t="s">
        <v>7</v>
      </c>
      <c r="D36" s="1" t="s">
        <v>55</v>
      </c>
      <c r="E36" t="s">
        <v>59</v>
      </c>
      <c r="F36" t="s">
        <v>14</v>
      </c>
      <c r="G36">
        <v>28</v>
      </c>
      <c r="H36" t="str">
        <f>_xlfn.XLOOKUP($B36,Table24[Misname],Table24[Canonical],$B36)</f>
        <v>Stevens Point</v>
      </c>
      <c r="I36">
        <f>_xlfn.XLOOKUP($J36,Table4[ward_name],Table4[priority])</f>
        <v>7</v>
      </c>
      <c r="J36" t="str">
        <f t="shared" si="5"/>
        <v>Stevens Point - C - 0014</v>
      </c>
      <c r="K36" t="str">
        <f t="shared" si="6"/>
        <v>57880294-63904</v>
      </c>
      <c r="L36" t="str">
        <f t="shared" si="7"/>
        <v>Turf 04</v>
      </c>
      <c r="M36">
        <f t="shared" si="4"/>
        <v>28</v>
      </c>
      <c r="N36" t="str">
        <f t="shared" si="8"/>
        <v>Stevens Point - C - 0014 - Turf 04</v>
      </c>
    </row>
    <row r="37" spans="1:14" x14ac:dyDescent="0.2">
      <c r="A37" t="s">
        <v>260</v>
      </c>
      <c r="B37" t="s">
        <v>6</v>
      </c>
      <c r="C37" t="s">
        <v>7</v>
      </c>
      <c r="D37" s="1" t="s">
        <v>60</v>
      </c>
      <c r="E37" t="s">
        <v>61</v>
      </c>
      <c r="F37" t="s">
        <v>10</v>
      </c>
      <c r="G37">
        <v>58</v>
      </c>
      <c r="H37" t="str">
        <f>_xlfn.XLOOKUP($B37,Table24[Misname],Table24[Canonical],$B37)</f>
        <v>Stevens Point</v>
      </c>
      <c r="I37">
        <f>_xlfn.XLOOKUP($J37,Table4[ward_name],Table4[priority])</f>
        <v>26</v>
      </c>
      <c r="J37" t="str">
        <f t="shared" si="5"/>
        <v>Stevens Point - C - 0026</v>
      </c>
      <c r="K37" t="str">
        <f t="shared" si="6"/>
        <v>57880234-72603</v>
      </c>
      <c r="L37" t="str">
        <f t="shared" si="7"/>
        <v>Turf 01</v>
      </c>
      <c r="M37">
        <f t="shared" si="4"/>
        <v>58</v>
      </c>
      <c r="N37" t="str">
        <f t="shared" si="8"/>
        <v>Stevens Point - C - 0026 - Turf 01</v>
      </c>
    </row>
    <row r="38" spans="1:14" x14ac:dyDescent="0.2">
      <c r="A38" t="s">
        <v>260</v>
      </c>
      <c r="B38" t="s">
        <v>6</v>
      </c>
      <c r="C38" t="s">
        <v>7</v>
      </c>
      <c r="D38" s="1" t="s">
        <v>60</v>
      </c>
      <c r="E38" t="s">
        <v>62</v>
      </c>
      <c r="F38" t="s">
        <v>21</v>
      </c>
      <c r="G38">
        <v>61</v>
      </c>
      <c r="H38" t="str">
        <f>_xlfn.XLOOKUP($B38,Table24[Misname],Table24[Canonical],$B38)</f>
        <v>Stevens Point</v>
      </c>
      <c r="I38">
        <f>_xlfn.XLOOKUP($J38,Table4[ward_name],Table4[priority])</f>
        <v>26</v>
      </c>
      <c r="J38" t="str">
        <f t="shared" si="5"/>
        <v>Stevens Point - C - 0026</v>
      </c>
      <c r="K38" t="str">
        <f t="shared" si="6"/>
        <v>57880235-90169</v>
      </c>
      <c r="L38" t="str">
        <f t="shared" si="7"/>
        <v>Turf 03</v>
      </c>
      <c r="M38">
        <f t="shared" si="4"/>
        <v>61</v>
      </c>
      <c r="N38" t="str">
        <f t="shared" si="8"/>
        <v>Stevens Point - C - 0026 - Turf 03</v>
      </c>
    </row>
    <row r="39" spans="1:14" x14ac:dyDescent="0.2">
      <c r="A39" t="s">
        <v>260</v>
      </c>
      <c r="B39" t="s">
        <v>6</v>
      </c>
      <c r="C39" t="s">
        <v>7</v>
      </c>
      <c r="D39" s="1" t="s">
        <v>60</v>
      </c>
      <c r="E39" t="s">
        <v>63</v>
      </c>
      <c r="F39" t="s">
        <v>14</v>
      </c>
      <c r="G39">
        <v>55</v>
      </c>
      <c r="H39" t="str">
        <f>_xlfn.XLOOKUP($B39,Table24[Misname],Table24[Canonical],$B39)</f>
        <v>Stevens Point</v>
      </c>
      <c r="I39">
        <f>_xlfn.XLOOKUP($J39,Table4[ward_name],Table4[priority])</f>
        <v>26</v>
      </c>
      <c r="J39" t="str">
        <f t="shared" si="5"/>
        <v>Stevens Point - C - 0026</v>
      </c>
      <c r="K39" t="str">
        <f t="shared" si="6"/>
        <v>57880236-50028</v>
      </c>
      <c r="L39" t="str">
        <f t="shared" si="7"/>
        <v>Turf 04</v>
      </c>
      <c r="M39">
        <f t="shared" si="4"/>
        <v>55</v>
      </c>
      <c r="N39" t="str">
        <f t="shared" si="8"/>
        <v>Stevens Point - C - 0026 - Turf 04</v>
      </c>
    </row>
    <row r="40" spans="1:14" x14ac:dyDescent="0.2">
      <c r="A40" t="s">
        <v>260</v>
      </c>
      <c r="B40" t="s">
        <v>6</v>
      </c>
      <c r="C40" t="s">
        <v>7</v>
      </c>
      <c r="D40" s="1" t="s">
        <v>60</v>
      </c>
      <c r="E40" t="s">
        <v>64</v>
      </c>
      <c r="F40" t="s">
        <v>65</v>
      </c>
      <c r="G40">
        <v>38</v>
      </c>
      <c r="H40" t="str">
        <f>_xlfn.XLOOKUP($B40,Table24[Misname],Table24[Canonical],$B40)</f>
        <v>Stevens Point</v>
      </c>
      <c r="I40">
        <f>_xlfn.XLOOKUP($J40,Table4[ward_name],Table4[priority])</f>
        <v>26</v>
      </c>
      <c r="J40" t="str">
        <f t="shared" si="5"/>
        <v>Stevens Point - C - 0026</v>
      </c>
      <c r="K40" t="str">
        <f t="shared" si="6"/>
        <v>57880237-42180</v>
      </c>
      <c r="L40" t="str">
        <f t="shared" si="7"/>
        <v>Turf 05</v>
      </c>
      <c r="M40">
        <f t="shared" si="4"/>
        <v>38</v>
      </c>
      <c r="N40" t="str">
        <f t="shared" si="8"/>
        <v>Stevens Point - C - 0026 - Turf 05</v>
      </c>
    </row>
    <row r="41" spans="1:14" x14ac:dyDescent="0.2">
      <c r="A41" t="s">
        <v>261</v>
      </c>
      <c r="B41" t="s">
        <v>6</v>
      </c>
      <c r="C41" t="s">
        <v>7</v>
      </c>
      <c r="D41" s="1" t="s">
        <v>66</v>
      </c>
      <c r="E41" t="s">
        <v>67</v>
      </c>
      <c r="F41" t="s">
        <v>10</v>
      </c>
      <c r="G41">
        <v>44</v>
      </c>
      <c r="H41" t="str">
        <f>_xlfn.XLOOKUP($B41,Table24[Misname],Table24[Canonical],$B41)</f>
        <v>Stevens Point</v>
      </c>
      <c r="I41">
        <f>_xlfn.XLOOKUP($J41,Table4[ward_name],Table4[priority])</f>
        <v>23</v>
      </c>
      <c r="J41" t="str">
        <f t="shared" si="5"/>
        <v>Stevens Point - C - 0018</v>
      </c>
      <c r="K41" t="str">
        <f t="shared" si="6"/>
        <v>57880148-77275</v>
      </c>
      <c r="L41" t="str">
        <f t="shared" si="7"/>
        <v>Turf 01</v>
      </c>
      <c r="M41">
        <f t="shared" si="4"/>
        <v>44</v>
      </c>
      <c r="N41" t="str">
        <f t="shared" si="8"/>
        <v>Stevens Point - C - 0018 - Turf 01</v>
      </c>
    </row>
    <row r="42" spans="1:14" x14ac:dyDescent="0.2">
      <c r="A42" t="s">
        <v>261</v>
      </c>
      <c r="B42" t="s">
        <v>6</v>
      </c>
      <c r="C42" t="s">
        <v>7</v>
      </c>
      <c r="D42" s="1" t="s">
        <v>66</v>
      </c>
      <c r="E42" t="s">
        <v>68</v>
      </c>
      <c r="F42" t="s">
        <v>12</v>
      </c>
      <c r="G42">
        <v>43</v>
      </c>
      <c r="H42" t="str">
        <f>_xlfn.XLOOKUP($B42,Table24[Misname],Table24[Canonical],$B42)</f>
        <v>Stevens Point</v>
      </c>
      <c r="I42">
        <f>_xlfn.XLOOKUP($J42,Table4[ward_name],Table4[priority])</f>
        <v>23</v>
      </c>
      <c r="J42" t="str">
        <f t="shared" si="5"/>
        <v>Stevens Point - C - 0018</v>
      </c>
      <c r="K42" t="str">
        <f t="shared" si="6"/>
        <v>57880149-22408</v>
      </c>
      <c r="L42" t="str">
        <f t="shared" si="7"/>
        <v>Turf 02</v>
      </c>
      <c r="M42">
        <f t="shared" si="4"/>
        <v>43</v>
      </c>
      <c r="N42" t="str">
        <f t="shared" si="8"/>
        <v>Stevens Point - C - 0018 - Turf 02</v>
      </c>
    </row>
    <row r="43" spans="1:14" x14ac:dyDescent="0.2">
      <c r="A43" t="s">
        <v>261</v>
      </c>
      <c r="B43" t="s">
        <v>6</v>
      </c>
      <c r="C43" t="s">
        <v>7</v>
      </c>
      <c r="D43" s="1" t="s">
        <v>66</v>
      </c>
      <c r="E43" t="s">
        <v>69</v>
      </c>
      <c r="F43" t="s">
        <v>21</v>
      </c>
      <c r="G43">
        <v>41</v>
      </c>
      <c r="H43" t="str">
        <f>_xlfn.XLOOKUP($B43,Table24[Misname],Table24[Canonical],$B43)</f>
        <v>Stevens Point</v>
      </c>
      <c r="I43">
        <f>_xlfn.XLOOKUP($J43,Table4[ward_name],Table4[priority])</f>
        <v>23</v>
      </c>
      <c r="J43" t="str">
        <f t="shared" si="5"/>
        <v>Stevens Point - C - 0018</v>
      </c>
      <c r="K43" t="str">
        <f t="shared" si="6"/>
        <v>57880150-72267</v>
      </c>
      <c r="L43" t="str">
        <f t="shared" si="7"/>
        <v>Turf 03</v>
      </c>
      <c r="M43">
        <f t="shared" si="4"/>
        <v>41</v>
      </c>
      <c r="N43" t="str">
        <f t="shared" si="8"/>
        <v>Stevens Point - C - 0018 - Turf 03</v>
      </c>
    </row>
    <row r="44" spans="1:14" x14ac:dyDescent="0.2">
      <c r="A44" t="s">
        <v>261</v>
      </c>
      <c r="B44" t="s">
        <v>6</v>
      </c>
      <c r="C44" t="s">
        <v>7</v>
      </c>
      <c r="D44" s="1" t="s">
        <v>66</v>
      </c>
      <c r="E44" t="s">
        <v>70</v>
      </c>
      <c r="F44" t="s">
        <v>14</v>
      </c>
      <c r="G44">
        <v>35</v>
      </c>
      <c r="H44" t="str">
        <f>_xlfn.XLOOKUP($B44,Table24[Misname],Table24[Canonical],$B44)</f>
        <v>Stevens Point</v>
      </c>
      <c r="I44">
        <f>_xlfn.XLOOKUP($J44,Table4[ward_name],Table4[priority])</f>
        <v>23</v>
      </c>
      <c r="J44" t="str">
        <f t="shared" si="5"/>
        <v>Stevens Point - C - 0018</v>
      </c>
      <c r="K44" t="str">
        <f t="shared" si="6"/>
        <v>57880151-64419</v>
      </c>
      <c r="L44" t="str">
        <f t="shared" si="7"/>
        <v>Turf 04</v>
      </c>
      <c r="M44">
        <f t="shared" si="4"/>
        <v>35</v>
      </c>
      <c r="N44" t="str">
        <f t="shared" si="8"/>
        <v>Stevens Point - C - 0018 - Turf 04</v>
      </c>
    </row>
    <row r="45" spans="1:14" x14ac:dyDescent="0.2">
      <c r="A45" t="s">
        <v>262</v>
      </c>
      <c r="B45" t="s">
        <v>6</v>
      </c>
      <c r="C45" t="s">
        <v>7</v>
      </c>
      <c r="D45" s="1" t="s">
        <v>71</v>
      </c>
      <c r="E45" t="s">
        <v>72</v>
      </c>
      <c r="F45" t="s">
        <v>10</v>
      </c>
      <c r="G45">
        <v>43</v>
      </c>
      <c r="H45" t="str">
        <f>_xlfn.XLOOKUP($B45,Table24[Misname],Table24[Canonical],$B45)</f>
        <v>Stevens Point</v>
      </c>
      <c r="I45">
        <f>_xlfn.XLOOKUP($J45,Table4[ward_name],Table4[priority])</f>
        <v>3</v>
      </c>
      <c r="J45" t="str">
        <f t="shared" si="5"/>
        <v>Stevens Point - C - 0010</v>
      </c>
      <c r="K45" t="str">
        <f t="shared" si="6"/>
        <v>57880053-11875</v>
      </c>
      <c r="L45" t="str">
        <f t="shared" si="7"/>
        <v>Turf 01</v>
      </c>
      <c r="M45">
        <f t="shared" si="4"/>
        <v>43</v>
      </c>
      <c r="N45" t="str">
        <f t="shared" si="8"/>
        <v>Stevens Point - C - 0010 - Turf 01</v>
      </c>
    </row>
    <row r="46" spans="1:14" x14ac:dyDescent="0.2">
      <c r="A46" t="s">
        <v>262</v>
      </c>
      <c r="B46" t="s">
        <v>6</v>
      </c>
      <c r="C46" t="s">
        <v>7</v>
      </c>
      <c r="D46" s="1" t="s">
        <v>71</v>
      </c>
      <c r="E46" t="s">
        <v>73</v>
      </c>
      <c r="F46" t="s">
        <v>12</v>
      </c>
      <c r="G46">
        <v>33</v>
      </c>
      <c r="H46" t="str">
        <f>_xlfn.XLOOKUP($B46,Table24[Misname],Table24[Canonical],$B46)</f>
        <v>Stevens Point</v>
      </c>
      <c r="I46">
        <f>_xlfn.XLOOKUP($J46,Table4[ward_name],Table4[priority])</f>
        <v>3</v>
      </c>
      <c r="J46" t="str">
        <f t="shared" si="5"/>
        <v>Stevens Point - C - 0010</v>
      </c>
      <c r="K46" t="str">
        <f t="shared" si="6"/>
        <v>57880054-76460</v>
      </c>
      <c r="L46" t="str">
        <f t="shared" si="7"/>
        <v>Turf 02</v>
      </c>
      <c r="M46">
        <f t="shared" si="4"/>
        <v>33</v>
      </c>
      <c r="N46" t="str">
        <f t="shared" si="8"/>
        <v>Stevens Point - C - 0010 - Turf 02</v>
      </c>
    </row>
    <row r="47" spans="1:14" x14ac:dyDescent="0.2">
      <c r="A47" t="s">
        <v>263</v>
      </c>
      <c r="B47" t="s">
        <v>6</v>
      </c>
      <c r="C47" t="s">
        <v>7</v>
      </c>
      <c r="D47" s="1" t="s">
        <v>74</v>
      </c>
      <c r="E47" t="s">
        <v>75</v>
      </c>
      <c r="F47" t="s">
        <v>10</v>
      </c>
      <c r="G47">
        <v>47</v>
      </c>
      <c r="H47" t="str">
        <f>_xlfn.XLOOKUP($B47,Table24[Misname],Table24[Canonical],$B47)</f>
        <v>Stevens Point</v>
      </c>
      <c r="I47">
        <f>_xlfn.XLOOKUP($J47,Table4[ward_name],Table4[priority])</f>
        <v>27</v>
      </c>
      <c r="J47" t="str">
        <f t="shared" si="5"/>
        <v>Stevens Point - C - 0027</v>
      </c>
      <c r="K47" t="str">
        <f t="shared" si="6"/>
        <v>57880238-63290</v>
      </c>
      <c r="L47" t="str">
        <f t="shared" si="7"/>
        <v>Turf 01</v>
      </c>
      <c r="M47">
        <f t="shared" si="4"/>
        <v>47</v>
      </c>
      <c r="N47" t="str">
        <f t="shared" si="8"/>
        <v>Stevens Point - C - 0027 - Turf 01</v>
      </c>
    </row>
    <row r="48" spans="1:14" x14ac:dyDescent="0.2">
      <c r="A48" t="s">
        <v>264</v>
      </c>
      <c r="B48" t="s">
        <v>76</v>
      </c>
      <c r="C48" t="s">
        <v>77</v>
      </c>
      <c r="D48" s="1" t="s">
        <v>78</v>
      </c>
      <c r="E48" t="s">
        <v>79</v>
      </c>
      <c r="F48" t="s">
        <v>10</v>
      </c>
      <c r="G48">
        <v>22</v>
      </c>
      <c r="H48" t="str">
        <f>_xlfn.XLOOKUP($B48,Table24[Misname],Table24[Canonical],$B48)</f>
        <v>Hull</v>
      </c>
      <c r="I48">
        <f>_xlfn.XLOOKUP($J48,Table4[ward_name],Table4[priority])</f>
        <v>50</v>
      </c>
      <c r="J48" t="str">
        <f t="shared" si="5"/>
        <v>Hull - T - 0008</v>
      </c>
      <c r="K48" t="str">
        <f t="shared" si="6"/>
        <v>57880068-40840</v>
      </c>
      <c r="L48" t="str">
        <f t="shared" si="7"/>
        <v>Turf 01</v>
      </c>
      <c r="M48">
        <f t="shared" si="4"/>
        <v>22</v>
      </c>
      <c r="N48" t="str">
        <f t="shared" si="8"/>
        <v>Hull - T - 0008 - Turf 01</v>
      </c>
    </row>
    <row r="49" spans="1:14" x14ac:dyDescent="0.2">
      <c r="A49" t="s">
        <v>265</v>
      </c>
      <c r="B49" t="s">
        <v>22</v>
      </c>
      <c r="C49" t="s">
        <v>16</v>
      </c>
      <c r="D49" s="1" t="s">
        <v>80</v>
      </c>
      <c r="E49" t="s">
        <v>81</v>
      </c>
      <c r="F49" t="s">
        <v>10</v>
      </c>
      <c r="G49">
        <v>36</v>
      </c>
      <c r="H49" t="str">
        <f>_xlfn.XLOOKUP($B49,Table24[Misname],Table24[Canonical],$B49)</f>
        <v>Plover</v>
      </c>
      <c r="I49">
        <f>_xlfn.XLOOKUP($J49,Table4[ward_name],Table4[priority])</f>
        <v>51</v>
      </c>
      <c r="J49" t="str">
        <f t="shared" si="5"/>
        <v>Plover - V - 0004</v>
      </c>
      <c r="K49" t="str">
        <f t="shared" si="6"/>
        <v>57880135-32417</v>
      </c>
      <c r="L49" t="str">
        <f t="shared" si="7"/>
        <v>Turf 01</v>
      </c>
      <c r="M49">
        <f t="shared" si="4"/>
        <v>36</v>
      </c>
      <c r="N49" t="str">
        <f t="shared" si="8"/>
        <v>Plover - V - 0004 - Turf 01</v>
      </c>
    </row>
    <row r="50" spans="1:14" x14ac:dyDescent="0.2">
      <c r="A50" t="s">
        <v>265</v>
      </c>
      <c r="B50" t="s">
        <v>22</v>
      </c>
      <c r="C50" t="s">
        <v>16</v>
      </c>
      <c r="D50" s="1" t="s">
        <v>80</v>
      </c>
      <c r="E50" t="s">
        <v>82</v>
      </c>
      <c r="F50" t="s">
        <v>12</v>
      </c>
      <c r="G50">
        <v>36</v>
      </c>
      <c r="H50" t="str">
        <f>_xlfn.XLOOKUP($B50,Table24[Misname],Table24[Canonical],$B50)</f>
        <v>Plover</v>
      </c>
      <c r="I50">
        <f>_xlfn.XLOOKUP($J50,Table4[ward_name],Table4[priority])</f>
        <v>51</v>
      </c>
      <c r="J50" t="str">
        <f t="shared" si="5"/>
        <v>Plover - V - 0004</v>
      </c>
      <c r="K50" t="str">
        <f t="shared" si="6"/>
        <v>57880137-24568</v>
      </c>
      <c r="L50" t="str">
        <f t="shared" si="7"/>
        <v>Turf 02</v>
      </c>
      <c r="M50">
        <f t="shared" si="4"/>
        <v>36</v>
      </c>
      <c r="N50" t="str">
        <f t="shared" si="8"/>
        <v>Plover - V - 0004 - Turf 02</v>
      </c>
    </row>
    <row r="51" spans="1:14" x14ac:dyDescent="0.2">
      <c r="A51" t="s">
        <v>265</v>
      </c>
      <c r="B51" t="s">
        <v>22</v>
      </c>
      <c r="C51" t="s">
        <v>16</v>
      </c>
      <c r="D51" s="1" t="s">
        <v>80</v>
      </c>
      <c r="E51" t="s">
        <v>83</v>
      </c>
      <c r="F51" t="s">
        <v>21</v>
      </c>
      <c r="G51">
        <v>39</v>
      </c>
      <c r="H51" t="str">
        <f>_xlfn.XLOOKUP($B51,Table24[Misname],Table24[Canonical],$B51)</f>
        <v>Plover</v>
      </c>
      <c r="I51">
        <f>_xlfn.XLOOKUP($J51,Table4[ward_name],Table4[priority])</f>
        <v>51</v>
      </c>
      <c r="J51" t="str">
        <f t="shared" si="5"/>
        <v>Plover - V - 0004</v>
      </c>
      <c r="K51" t="str">
        <f t="shared" si="6"/>
        <v>57880139-91994</v>
      </c>
      <c r="L51" t="str">
        <f t="shared" si="7"/>
        <v>Turf 03</v>
      </c>
      <c r="M51">
        <f t="shared" si="4"/>
        <v>39</v>
      </c>
      <c r="N51" t="str">
        <f t="shared" si="8"/>
        <v>Plover - V - 0004 - Turf 03</v>
      </c>
    </row>
    <row r="52" spans="1:14" x14ac:dyDescent="0.2">
      <c r="A52" t="s">
        <v>265</v>
      </c>
      <c r="B52" t="s">
        <v>22</v>
      </c>
      <c r="C52" t="s">
        <v>16</v>
      </c>
      <c r="D52" s="1" t="s">
        <v>80</v>
      </c>
      <c r="E52" t="s">
        <v>84</v>
      </c>
      <c r="F52" t="s">
        <v>14</v>
      </c>
      <c r="G52">
        <v>42</v>
      </c>
      <c r="H52" t="str">
        <f>_xlfn.XLOOKUP($B52,Table24[Misname],Table24[Canonical],$B52)</f>
        <v>Plover</v>
      </c>
      <c r="I52">
        <f>_xlfn.XLOOKUP($J52,Table4[ward_name],Table4[priority])</f>
        <v>51</v>
      </c>
      <c r="J52" t="str">
        <f t="shared" si="5"/>
        <v>Plover - V - 0004</v>
      </c>
      <c r="K52" t="str">
        <f t="shared" si="6"/>
        <v>57880141-84145</v>
      </c>
      <c r="L52" t="str">
        <f t="shared" si="7"/>
        <v>Turf 04</v>
      </c>
      <c r="M52">
        <f t="shared" si="4"/>
        <v>42</v>
      </c>
      <c r="N52" t="str">
        <f t="shared" si="8"/>
        <v>Plover - V - 0004 - Turf 04</v>
      </c>
    </row>
    <row r="53" spans="1:14" x14ac:dyDescent="0.2">
      <c r="A53" t="s">
        <v>265</v>
      </c>
      <c r="B53" t="s">
        <v>22</v>
      </c>
      <c r="C53" t="s">
        <v>16</v>
      </c>
      <c r="D53" s="1" t="s">
        <v>80</v>
      </c>
      <c r="E53" t="s">
        <v>85</v>
      </c>
      <c r="F53" t="s">
        <v>65</v>
      </c>
      <c r="G53">
        <v>39</v>
      </c>
      <c r="H53" t="str">
        <f>_xlfn.XLOOKUP($B53,Table24[Misname],Table24[Canonical],$B53)</f>
        <v>Plover</v>
      </c>
      <c r="I53">
        <f>_xlfn.XLOOKUP($J53,Table4[ward_name],Table4[priority])</f>
        <v>51</v>
      </c>
      <c r="J53" t="str">
        <f t="shared" si="5"/>
        <v>Plover - V - 0004</v>
      </c>
      <c r="K53" t="str">
        <f t="shared" si="6"/>
        <v>57880143-61571</v>
      </c>
      <c r="L53" t="str">
        <f t="shared" si="7"/>
        <v>Turf 05</v>
      </c>
      <c r="M53">
        <f t="shared" si="4"/>
        <v>39</v>
      </c>
      <c r="N53" t="str">
        <f t="shared" si="8"/>
        <v>Plover - V - 0004 - Turf 05</v>
      </c>
    </row>
    <row r="54" spans="1:14" x14ac:dyDescent="0.2">
      <c r="A54" t="s">
        <v>266</v>
      </c>
      <c r="B54" t="s">
        <v>42</v>
      </c>
      <c r="C54" t="s">
        <v>16</v>
      </c>
      <c r="D54" s="1" t="s">
        <v>17</v>
      </c>
      <c r="E54" t="s">
        <v>86</v>
      </c>
      <c r="F54" t="s">
        <v>10</v>
      </c>
      <c r="G54">
        <v>37</v>
      </c>
      <c r="H54" t="str">
        <f>_xlfn.XLOOKUP($B54,Table24[Misname],Table24[Canonical],$B54)</f>
        <v>Whiting</v>
      </c>
      <c r="I54">
        <f>_xlfn.XLOOKUP($J54,Table4[ward_name],Table4[priority])</f>
        <v>43</v>
      </c>
      <c r="J54" t="str">
        <f t="shared" si="5"/>
        <v>Whiting - V - 0001</v>
      </c>
      <c r="K54" t="str">
        <f t="shared" si="6"/>
        <v>57880169-77673</v>
      </c>
      <c r="L54" t="str">
        <f t="shared" si="7"/>
        <v>Turf 01</v>
      </c>
      <c r="M54">
        <f t="shared" si="4"/>
        <v>37</v>
      </c>
      <c r="N54" t="str">
        <f t="shared" si="8"/>
        <v>Whiting - V - 0001 - Turf 01</v>
      </c>
    </row>
    <row r="55" spans="1:14" x14ac:dyDescent="0.2">
      <c r="A55" t="s">
        <v>266</v>
      </c>
      <c r="B55" t="s">
        <v>42</v>
      </c>
      <c r="C55" t="s">
        <v>16</v>
      </c>
      <c r="D55" s="1" t="s">
        <v>17</v>
      </c>
      <c r="E55" t="s">
        <v>87</v>
      </c>
      <c r="F55" t="s">
        <v>12</v>
      </c>
      <c r="G55">
        <v>34</v>
      </c>
      <c r="H55" t="str">
        <f>_xlfn.XLOOKUP($B55,Table24[Misname],Table24[Canonical],$B55)</f>
        <v>Whiting</v>
      </c>
      <c r="I55">
        <f>_xlfn.XLOOKUP($J55,Table4[ward_name],Table4[priority])</f>
        <v>43</v>
      </c>
      <c r="J55" t="str">
        <f t="shared" si="5"/>
        <v>Whiting - V - 0001</v>
      </c>
      <c r="K55" t="str">
        <f t="shared" si="6"/>
        <v>57880171-37532</v>
      </c>
      <c r="L55" t="str">
        <f t="shared" si="7"/>
        <v>Turf 02</v>
      </c>
      <c r="M55">
        <f t="shared" si="4"/>
        <v>34</v>
      </c>
      <c r="N55" t="str">
        <f t="shared" si="8"/>
        <v>Whiting - V - 0001 - Turf 02</v>
      </c>
    </row>
    <row r="56" spans="1:14" x14ac:dyDescent="0.2">
      <c r="A56" t="s">
        <v>267</v>
      </c>
      <c r="B56" t="s">
        <v>76</v>
      </c>
      <c r="C56" t="s">
        <v>77</v>
      </c>
      <c r="D56" s="1" t="s">
        <v>88</v>
      </c>
      <c r="E56" t="s">
        <v>89</v>
      </c>
      <c r="F56" t="s">
        <v>10</v>
      </c>
      <c r="G56">
        <v>32</v>
      </c>
      <c r="H56" t="str">
        <f>_xlfn.XLOOKUP($B56,Table24[Misname],Table24[Canonical],$B56)</f>
        <v>Hull</v>
      </c>
      <c r="I56">
        <f>_xlfn.XLOOKUP($J56,Table4[ward_name],Table4[priority])</f>
        <v>48</v>
      </c>
      <c r="J56" t="str">
        <f t="shared" si="5"/>
        <v>Hull - T - 0006</v>
      </c>
      <c r="K56" t="str">
        <f t="shared" si="6"/>
        <v>57880190-76027</v>
      </c>
      <c r="L56" t="str">
        <f t="shared" si="7"/>
        <v>Turf 01</v>
      </c>
      <c r="M56">
        <f t="shared" si="4"/>
        <v>32</v>
      </c>
      <c r="N56" t="str">
        <f t="shared" si="8"/>
        <v>Hull - T - 0006 - Turf 01</v>
      </c>
    </row>
    <row r="57" spans="1:14" x14ac:dyDescent="0.2">
      <c r="A57" t="s">
        <v>267</v>
      </c>
      <c r="B57" t="s">
        <v>76</v>
      </c>
      <c r="C57" t="s">
        <v>77</v>
      </c>
      <c r="D57" s="1" t="s">
        <v>88</v>
      </c>
      <c r="E57" t="s">
        <v>90</v>
      </c>
      <c r="F57" t="s">
        <v>12</v>
      </c>
      <c r="G57">
        <v>50</v>
      </c>
      <c r="H57" t="str">
        <f>_xlfn.XLOOKUP($B57,Table24[Misname],Table24[Canonical],$B57)</f>
        <v>Hull</v>
      </c>
      <c r="I57">
        <f>_xlfn.XLOOKUP($J57,Table4[ward_name],Table4[priority])</f>
        <v>48</v>
      </c>
      <c r="J57" t="str">
        <f t="shared" si="5"/>
        <v>Hull - T - 0006</v>
      </c>
      <c r="K57" t="str">
        <f t="shared" si="6"/>
        <v>57880191-35886</v>
      </c>
      <c r="L57" t="str">
        <f t="shared" si="7"/>
        <v>Turf 02</v>
      </c>
      <c r="M57">
        <f t="shared" si="4"/>
        <v>50</v>
      </c>
      <c r="N57" t="str">
        <f t="shared" si="8"/>
        <v>Hull - T - 0006 - Turf 02</v>
      </c>
    </row>
    <row r="58" spans="1:14" x14ac:dyDescent="0.2">
      <c r="A58" t="s">
        <v>268</v>
      </c>
      <c r="B58" t="s">
        <v>6</v>
      </c>
      <c r="C58" t="s">
        <v>7</v>
      </c>
      <c r="D58" s="1" t="s">
        <v>91</v>
      </c>
      <c r="E58" t="s">
        <v>92</v>
      </c>
      <c r="F58" t="s">
        <v>10</v>
      </c>
      <c r="G58">
        <v>38</v>
      </c>
      <c r="H58" t="str">
        <f>_xlfn.XLOOKUP($B58,Table24[Misname],Table24[Canonical],$B58)</f>
        <v>Stevens Point</v>
      </c>
      <c r="I58">
        <f>_xlfn.XLOOKUP($J58,Table4[ward_name],Table4[priority])</f>
        <v>16</v>
      </c>
      <c r="J58" t="str">
        <f t="shared" si="5"/>
        <v>Stevens Point - C - 0032</v>
      </c>
      <c r="K58" t="str">
        <f t="shared" si="6"/>
        <v>57880331-72540</v>
      </c>
      <c r="L58" t="str">
        <f t="shared" si="7"/>
        <v>Turf 01</v>
      </c>
      <c r="M58">
        <f t="shared" si="4"/>
        <v>38</v>
      </c>
      <c r="N58" t="str">
        <f t="shared" si="8"/>
        <v>Stevens Point - C - 0032 - Turf 01</v>
      </c>
    </row>
    <row r="59" spans="1:14" x14ac:dyDescent="0.2">
      <c r="A59" t="s">
        <v>268</v>
      </c>
      <c r="B59" t="s">
        <v>6</v>
      </c>
      <c r="C59" t="s">
        <v>7</v>
      </c>
      <c r="D59" s="1" t="s">
        <v>91</v>
      </c>
      <c r="E59" t="s">
        <v>93</v>
      </c>
      <c r="F59" t="s">
        <v>12</v>
      </c>
      <c r="G59">
        <v>29</v>
      </c>
      <c r="H59" t="str">
        <f>_xlfn.XLOOKUP($B59,Table24[Misname],Table24[Canonical],$B59)</f>
        <v>Stevens Point</v>
      </c>
      <c r="I59">
        <f>_xlfn.XLOOKUP($J59,Table4[ward_name],Table4[priority])</f>
        <v>16</v>
      </c>
      <c r="J59" t="str">
        <f t="shared" si="5"/>
        <v>Stevens Point - C - 0032</v>
      </c>
      <c r="K59" t="str">
        <f t="shared" si="6"/>
        <v>57880332-32399</v>
      </c>
      <c r="L59" t="str">
        <f t="shared" si="7"/>
        <v>Turf 02</v>
      </c>
      <c r="M59">
        <f t="shared" si="4"/>
        <v>29</v>
      </c>
      <c r="N59" t="str">
        <f t="shared" si="8"/>
        <v>Stevens Point - C - 0032 - Turf 02</v>
      </c>
    </row>
    <row r="60" spans="1:14" x14ac:dyDescent="0.2">
      <c r="A60" t="s">
        <v>269</v>
      </c>
      <c r="B60" t="s">
        <v>22</v>
      </c>
      <c r="C60" t="s">
        <v>16</v>
      </c>
      <c r="D60" s="1" t="s">
        <v>17</v>
      </c>
      <c r="E60" t="s">
        <v>94</v>
      </c>
      <c r="F60" t="s">
        <v>10</v>
      </c>
      <c r="G60">
        <v>35</v>
      </c>
      <c r="H60" t="str">
        <f>_xlfn.XLOOKUP($B60,Table24[Misname],Table24[Canonical],$B60)</f>
        <v>Plover</v>
      </c>
      <c r="I60">
        <f>_xlfn.XLOOKUP($J60,Table4[ward_name],Table4[priority])</f>
        <v>30</v>
      </c>
      <c r="J60" t="str">
        <f t="shared" si="5"/>
        <v>Plover - V - 0001</v>
      </c>
      <c r="K60" t="str">
        <f t="shared" si="6"/>
        <v>57880035-17760</v>
      </c>
      <c r="L60" t="str">
        <f t="shared" si="7"/>
        <v>Turf 01</v>
      </c>
      <c r="M60">
        <f t="shared" si="4"/>
        <v>35</v>
      </c>
      <c r="N60" t="str">
        <f t="shared" si="8"/>
        <v>Plover - V - 0001 - Turf 01</v>
      </c>
    </row>
    <row r="61" spans="1:14" x14ac:dyDescent="0.2">
      <c r="A61" t="s">
        <v>269</v>
      </c>
      <c r="B61" t="s">
        <v>22</v>
      </c>
      <c r="C61" t="s">
        <v>16</v>
      </c>
      <c r="D61" s="1" t="s">
        <v>17</v>
      </c>
      <c r="E61" t="s">
        <v>95</v>
      </c>
      <c r="F61" t="s">
        <v>12</v>
      </c>
      <c r="G61">
        <v>39</v>
      </c>
      <c r="H61" t="str">
        <f>_xlfn.XLOOKUP($B61,Table24[Misname],Table24[Canonical],$B61)</f>
        <v>Plover</v>
      </c>
      <c r="I61">
        <f>_xlfn.XLOOKUP($J61,Table4[ward_name],Table4[priority])</f>
        <v>30</v>
      </c>
      <c r="J61" t="str">
        <f t="shared" si="5"/>
        <v>Plover - V - 0001</v>
      </c>
      <c r="K61" t="str">
        <f t="shared" si="6"/>
        <v>57880036-99912</v>
      </c>
      <c r="L61" t="str">
        <f t="shared" si="7"/>
        <v>Turf 02</v>
      </c>
      <c r="M61">
        <f t="shared" si="4"/>
        <v>39</v>
      </c>
      <c r="N61" t="str">
        <f t="shared" si="8"/>
        <v>Plover - V - 0001 - Turf 02</v>
      </c>
    </row>
    <row r="62" spans="1:14" x14ac:dyDescent="0.2">
      <c r="A62" t="s">
        <v>269</v>
      </c>
      <c r="B62" t="s">
        <v>22</v>
      </c>
      <c r="C62" t="s">
        <v>16</v>
      </c>
      <c r="D62" s="1" t="s">
        <v>17</v>
      </c>
      <c r="E62" t="s">
        <v>96</v>
      </c>
      <c r="F62" t="s">
        <v>21</v>
      </c>
      <c r="G62">
        <v>30</v>
      </c>
      <c r="H62" t="str">
        <f>_xlfn.XLOOKUP($B62,Table24[Misname],Table24[Canonical],$B62)</f>
        <v>Plover</v>
      </c>
      <c r="I62">
        <f>_xlfn.XLOOKUP($J62,Table4[ward_name],Table4[priority])</f>
        <v>30</v>
      </c>
      <c r="J62" t="str">
        <f t="shared" si="5"/>
        <v>Plover - V - 0001</v>
      </c>
      <c r="K62" t="str">
        <f t="shared" si="6"/>
        <v>57880037-77338</v>
      </c>
      <c r="L62" t="str">
        <f t="shared" si="7"/>
        <v>Turf 03</v>
      </c>
      <c r="M62">
        <f t="shared" si="4"/>
        <v>30</v>
      </c>
      <c r="N62" t="str">
        <f t="shared" si="8"/>
        <v>Plover - V - 0001 - Turf 03</v>
      </c>
    </row>
    <row r="63" spans="1:14" x14ac:dyDescent="0.2">
      <c r="A63" t="s">
        <v>269</v>
      </c>
      <c r="B63" t="s">
        <v>22</v>
      </c>
      <c r="C63" t="s">
        <v>16</v>
      </c>
      <c r="D63" s="1" t="s">
        <v>17</v>
      </c>
      <c r="E63" t="s">
        <v>97</v>
      </c>
      <c r="F63" t="s">
        <v>14</v>
      </c>
      <c r="G63">
        <v>40</v>
      </c>
      <c r="H63" t="str">
        <f>_xlfn.XLOOKUP($B63,Table24[Misname],Table24[Canonical],$B63)</f>
        <v>Plover</v>
      </c>
      <c r="I63">
        <f>_xlfn.XLOOKUP($J63,Table4[ward_name],Table4[priority])</f>
        <v>30</v>
      </c>
      <c r="J63" t="str">
        <f t="shared" si="5"/>
        <v>Plover - V - 0001</v>
      </c>
      <c r="K63" t="str">
        <f t="shared" si="6"/>
        <v>57880038-54763</v>
      </c>
      <c r="L63" t="str">
        <f t="shared" si="7"/>
        <v>Turf 04</v>
      </c>
      <c r="M63">
        <f t="shared" si="4"/>
        <v>40</v>
      </c>
      <c r="N63" t="str">
        <f t="shared" si="8"/>
        <v>Plover - V - 0001 - Turf 04</v>
      </c>
    </row>
    <row r="64" spans="1:14" x14ac:dyDescent="0.2">
      <c r="A64" t="s">
        <v>270</v>
      </c>
      <c r="B64" t="s">
        <v>98</v>
      </c>
      <c r="D64" s="1" t="s">
        <v>43</v>
      </c>
      <c r="E64" t="s">
        <v>99</v>
      </c>
      <c r="F64" t="s">
        <v>10</v>
      </c>
      <c r="G64">
        <v>38</v>
      </c>
      <c r="H64" t="str">
        <f>_xlfn.XLOOKUP($B64,Table24[Misname],Table24[Canonical],$B64)</f>
        <v>Amherst</v>
      </c>
      <c r="I64" t="e">
        <f>_xlfn.XLOOKUP($J64,Table4[ward_name],Table4[priority])</f>
        <v>#N/A</v>
      </c>
      <c r="J64" t="str">
        <f t="shared" si="5"/>
        <v>Amherst -  - 0002</v>
      </c>
      <c r="K64" t="str">
        <f t="shared" si="6"/>
        <v>57880224-84968</v>
      </c>
      <c r="L64" t="str">
        <f t="shared" si="7"/>
        <v>Turf 01</v>
      </c>
      <c r="M64">
        <f t="shared" si="4"/>
        <v>38</v>
      </c>
      <c r="N64" t="str">
        <f t="shared" si="8"/>
        <v>Amherst -  - 0002 - Turf 01</v>
      </c>
    </row>
    <row r="65" spans="1:14" x14ac:dyDescent="0.2">
      <c r="A65" t="s">
        <v>270</v>
      </c>
      <c r="B65" t="s">
        <v>98</v>
      </c>
      <c r="D65" s="1" t="s">
        <v>43</v>
      </c>
      <c r="E65" t="s">
        <v>100</v>
      </c>
      <c r="F65" t="s">
        <v>12</v>
      </c>
      <c r="G65">
        <v>31</v>
      </c>
      <c r="H65" t="str">
        <f>_xlfn.XLOOKUP($B65,Table24[Misname],Table24[Canonical],$B65)</f>
        <v>Amherst</v>
      </c>
      <c r="I65" t="e">
        <f>_xlfn.XLOOKUP($J65,Table4[ward_name],Table4[priority])</f>
        <v>#N/A</v>
      </c>
      <c r="J65" t="str">
        <f t="shared" si="5"/>
        <v>Amherst -  - 0002</v>
      </c>
      <c r="K65" t="str">
        <f t="shared" si="6"/>
        <v>57880225-44827</v>
      </c>
      <c r="L65" t="str">
        <f t="shared" si="7"/>
        <v>Turf 02</v>
      </c>
      <c r="M65">
        <f t="shared" si="4"/>
        <v>31</v>
      </c>
      <c r="N65" t="str">
        <f t="shared" si="8"/>
        <v>Amherst -  - 0002 - Turf 02</v>
      </c>
    </row>
    <row r="66" spans="1:14" x14ac:dyDescent="0.2">
      <c r="A66" t="s">
        <v>271</v>
      </c>
      <c r="B66" t="s">
        <v>6</v>
      </c>
      <c r="C66" t="s">
        <v>7</v>
      </c>
      <c r="D66" s="1" t="s">
        <v>78</v>
      </c>
      <c r="E66" t="s">
        <v>101</v>
      </c>
      <c r="F66" t="s">
        <v>10</v>
      </c>
      <c r="G66">
        <v>51</v>
      </c>
      <c r="H66" t="str">
        <f>_xlfn.XLOOKUP($B66,Table24[Misname],Table24[Canonical],$B66)</f>
        <v>Stevens Point</v>
      </c>
      <c r="I66">
        <f>_xlfn.XLOOKUP($J66,Table4[ward_name],Table4[priority])</f>
        <v>1</v>
      </c>
      <c r="J66" t="str">
        <f t="shared" si="5"/>
        <v>Stevens Point - C - 0008</v>
      </c>
      <c r="K66" t="str">
        <f t="shared" si="6"/>
        <v>57880023-72818</v>
      </c>
      <c r="L66" t="str">
        <f t="shared" si="7"/>
        <v>Turf 01</v>
      </c>
      <c r="M66">
        <f t="shared" si="4"/>
        <v>51</v>
      </c>
      <c r="N66" t="str">
        <f t="shared" si="8"/>
        <v>Stevens Point - C - 0008 - Turf 01</v>
      </c>
    </row>
    <row r="67" spans="1:14" x14ac:dyDescent="0.2">
      <c r="A67" t="s">
        <v>271</v>
      </c>
      <c r="B67" t="s">
        <v>6</v>
      </c>
      <c r="C67" t="s">
        <v>7</v>
      </c>
      <c r="D67" s="1" t="s">
        <v>78</v>
      </c>
      <c r="E67" t="s">
        <v>102</v>
      </c>
      <c r="F67" t="s">
        <v>12</v>
      </c>
      <c r="G67">
        <v>56</v>
      </c>
      <c r="H67" t="str">
        <f>_xlfn.XLOOKUP($B67,Table24[Misname],Table24[Canonical],$B67)</f>
        <v>Stevens Point</v>
      </c>
      <c r="I67">
        <f>_xlfn.XLOOKUP($J67,Table4[ward_name],Table4[priority])</f>
        <v>1</v>
      </c>
      <c r="J67" t="str">
        <f t="shared" ref="J67:J98" si="9">$H67&amp;" - "&amp;$C67&amp;" - "&amp;$D67</f>
        <v>Stevens Point - C - 0008</v>
      </c>
      <c r="K67" t="str">
        <f t="shared" ref="K67:K98" si="10">$E67</f>
        <v>57880024-32677</v>
      </c>
      <c r="L67" t="str">
        <f t="shared" ref="L67:L98" si="11">$F67</f>
        <v>Turf 02</v>
      </c>
      <c r="M67">
        <f t="shared" si="4"/>
        <v>56</v>
      </c>
      <c r="N67" t="str">
        <f t="shared" ref="N67:N98" si="12">$J67&amp;" - "&amp;$L67</f>
        <v>Stevens Point - C - 0008 - Turf 02</v>
      </c>
    </row>
    <row r="68" spans="1:14" x14ac:dyDescent="0.2">
      <c r="A68" t="s">
        <v>272</v>
      </c>
      <c r="B68" t="s">
        <v>22</v>
      </c>
      <c r="C68" t="s">
        <v>16</v>
      </c>
      <c r="D68" s="1" t="s">
        <v>71</v>
      </c>
      <c r="E68" t="s">
        <v>103</v>
      </c>
      <c r="F68" t="s">
        <v>10</v>
      </c>
      <c r="G68">
        <v>45</v>
      </c>
      <c r="H68" t="str">
        <f>_xlfn.XLOOKUP($B68,Table24[Misname],Table24[Canonical],$B68)</f>
        <v>Plover</v>
      </c>
      <c r="I68">
        <f>_xlfn.XLOOKUP($J68,Table4[ward_name],Table4[priority])</f>
        <v>33</v>
      </c>
      <c r="J68" t="str">
        <f t="shared" si="9"/>
        <v>Plover - V - 0010</v>
      </c>
      <c r="K68" t="str">
        <f t="shared" si="10"/>
        <v>57880265-12372</v>
      </c>
      <c r="L68" t="str">
        <f t="shared" si="11"/>
        <v>Turf 01</v>
      </c>
      <c r="M68">
        <f t="shared" ref="M68:M131" si="13">$G68</f>
        <v>45</v>
      </c>
      <c r="N68" t="str">
        <f t="shared" si="12"/>
        <v>Plover - V - 0010 - Turf 01</v>
      </c>
    </row>
    <row r="69" spans="1:14" x14ac:dyDescent="0.2">
      <c r="A69" t="s">
        <v>272</v>
      </c>
      <c r="B69" t="s">
        <v>22</v>
      </c>
      <c r="C69" t="s">
        <v>16</v>
      </c>
      <c r="D69" s="1" t="s">
        <v>71</v>
      </c>
      <c r="E69" t="s">
        <v>104</v>
      </c>
      <c r="F69" t="s">
        <v>12</v>
      </c>
      <c r="G69">
        <v>44</v>
      </c>
      <c r="H69" t="str">
        <f>_xlfn.XLOOKUP($B69,Table24[Misname],Table24[Canonical],$B69)</f>
        <v>Plover</v>
      </c>
      <c r="I69">
        <f>_xlfn.XLOOKUP($J69,Table4[ward_name],Table4[priority])</f>
        <v>33</v>
      </c>
      <c r="J69" t="str">
        <f t="shared" si="9"/>
        <v>Plover - V - 0010</v>
      </c>
      <c r="K69" t="str">
        <f t="shared" si="10"/>
        <v>57880266-29938</v>
      </c>
      <c r="L69" t="str">
        <f t="shared" si="11"/>
        <v>Turf 02</v>
      </c>
      <c r="M69">
        <f t="shared" si="13"/>
        <v>44</v>
      </c>
      <c r="N69" t="str">
        <f t="shared" si="12"/>
        <v>Plover - V - 0010 - Turf 02</v>
      </c>
    </row>
    <row r="70" spans="1:14" x14ac:dyDescent="0.2">
      <c r="A70" t="s">
        <v>272</v>
      </c>
      <c r="B70" t="s">
        <v>22</v>
      </c>
      <c r="C70" t="s">
        <v>16</v>
      </c>
      <c r="D70" s="1" t="s">
        <v>71</v>
      </c>
      <c r="E70" t="s">
        <v>105</v>
      </c>
      <c r="F70" t="s">
        <v>21</v>
      </c>
      <c r="G70">
        <v>27</v>
      </c>
      <c r="H70" t="str">
        <f>_xlfn.XLOOKUP($B70,Table24[Misname],Table24[Canonical],$B70)</f>
        <v>Plover</v>
      </c>
      <c r="I70">
        <f>_xlfn.XLOOKUP($J70,Table4[ward_name],Table4[priority])</f>
        <v>33</v>
      </c>
      <c r="J70" t="str">
        <f t="shared" si="9"/>
        <v>Plover - V - 0010</v>
      </c>
      <c r="K70" t="str">
        <f t="shared" si="10"/>
        <v>57880267-47505</v>
      </c>
      <c r="L70" t="str">
        <f t="shared" si="11"/>
        <v>Turf 03</v>
      </c>
      <c r="M70">
        <f t="shared" si="13"/>
        <v>27</v>
      </c>
      <c r="N70" t="str">
        <f t="shared" si="12"/>
        <v>Plover - V - 0010 - Turf 03</v>
      </c>
    </row>
    <row r="71" spans="1:14" x14ac:dyDescent="0.2">
      <c r="A71" t="s">
        <v>273</v>
      </c>
      <c r="B71" t="s">
        <v>22</v>
      </c>
      <c r="C71" t="s">
        <v>16</v>
      </c>
      <c r="D71" s="1" t="s">
        <v>106</v>
      </c>
      <c r="E71" t="s">
        <v>107</v>
      </c>
      <c r="F71" t="s">
        <v>10</v>
      </c>
      <c r="G71">
        <v>52</v>
      </c>
      <c r="H71" t="str">
        <f>_xlfn.XLOOKUP($B71,Table24[Misname],Table24[Canonical],$B71)</f>
        <v>Plover</v>
      </c>
      <c r="I71">
        <f>_xlfn.XLOOKUP($J71,Table4[ward_name],Table4[priority])</f>
        <v>34</v>
      </c>
      <c r="J71" t="str">
        <f t="shared" si="9"/>
        <v>Plover - V - 0003</v>
      </c>
      <c r="K71" t="str">
        <f t="shared" si="10"/>
        <v>57880087-57638</v>
      </c>
      <c r="L71" t="str">
        <f t="shared" si="11"/>
        <v>Turf 01</v>
      </c>
      <c r="M71">
        <f t="shared" si="13"/>
        <v>52</v>
      </c>
      <c r="N71" t="str">
        <f t="shared" si="12"/>
        <v>Plover - V - 0003 - Turf 01</v>
      </c>
    </row>
    <row r="72" spans="1:14" x14ac:dyDescent="0.2">
      <c r="A72" t="s">
        <v>273</v>
      </c>
      <c r="B72" t="s">
        <v>22</v>
      </c>
      <c r="C72" t="s">
        <v>16</v>
      </c>
      <c r="D72" s="1" t="s">
        <v>106</v>
      </c>
      <c r="E72" t="s">
        <v>108</v>
      </c>
      <c r="F72" t="s">
        <v>12</v>
      </c>
      <c r="G72">
        <v>45</v>
      </c>
      <c r="H72" t="str">
        <f>_xlfn.XLOOKUP($B72,Table24[Misname],Table24[Canonical],$B72)</f>
        <v>Plover</v>
      </c>
      <c r="I72">
        <f>_xlfn.XLOOKUP($J72,Table4[ward_name],Table4[priority])</f>
        <v>34</v>
      </c>
      <c r="J72" t="str">
        <f t="shared" si="9"/>
        <v>Plover - V - 0003</v>
      </c>
      <c r="K72" t="str">
        <f t="shared" si="10"/>
        <v>57880088-17497</v>
      </c>
      <c r="L72" t="str">
        <f t="shared" si="11"/>
        <v>Turf 02</v>
      </c>
      <c r="M72">
        <f t="shared" si="13"/>
        <v>45</v>
      </c>
      <c r="N72" t="str">
        <f t="shared" si="12"/>
        <v>Plover - V - 0003 - Turf 02</v>
      </c>
    </row>
    <row r="73" spans="1:14" x14ac:dyDescent="0.2">
      <c r="A73" t="s">
        <v>273</v>
      </c>
      <c r="B73" t="s">
        <v>22</v>
      </c>
      <c r="C73" t="s">
        <v>16</v>
      </c>
      <c r="D73" s="1" t="s">
        <v>106</v>
      </c>
      <c r="E73" t="s">
        <v>109</v>
      </c>
      <c r="F73" t="s">
        <v>21</v>
      </c>
      <c r="G73">
        <v>45</v>
      </c>
      <c r="H73" t="str">
        <f>_xlfn.XLOOKUP($B73,Table24[Misname],Table24[Canonical],$B73)</f>
        <v>Plover</v>
      </c>
      <c r="I73">
        <f>_xlfn.XLOOKUP($J73,Table4[ward_name],Table4[priority])</f>
        <v>34</v>
      </c>
      <c r="J73" t="str">
        <f t="shared" si="9"/>
        <v>Plover - V - 0003</v>
      </c>
      <c r="K73" t="str">
        <f t="shared" si="10"/>
        <v>57880089-99649</v>
      </c>
      <c r="L73" t="str">
        <f t="shared" si="11"/>
        <v>Turf 03</v>
      </c>
      <c r="M73">
        <f t="shared" si="13"/>
        <v>45</v>
      </c>
      <c r="N73" t="str">
        <f t="shared" si="12"/>
        <v>Plover - V - 0003 - Turf 03</v>
      </c>
    </row>
    <row r="74" spans="1:14" x14ac:dyDescent="0.2">
      <c r="A74" t="s">
        <v>274</v>
      </c>
      <c r="B74" t="s">
        <v>6</v>
      </c>
      <c r="C74" t="s">
        <v>7</v>
      </c>
      <c r="D74" s="1" t="s">
        <v>80</v>
      </c>
      <c r="E74" t="s">
        <v>110</v>
      </c>
      <c r="F74" t="s">
        <v>10</v>
      </c>
      <c r="G74">
        <v>57</v>
      </c>
      <c r="H74" t="str">
        <f>_xlfn.XLOOKUP($B74,Table24[Misname],Table24[Canonical],$B74)</f>
        <v>Stevens Point</v>
      </c>
      <c r="I74">
        <f>_xlfn.XLOOKUP($J74,Table4[ward_name],Table4[priority])</f>
        <v>9</v>
      </c>
      <c r="J74" t="str">
        <f t="shared" si="9"/>
        <v>Stevens Point - C - 0004</v>
      </c>
      <c r="K74" t="str">
        <f t="shared" si="10"/>
        <v>57880096-51065</v>
      </c>
      <c r="L74" t="str">
        <f t="shared" si="11"/>
        <v>Turf 01</v>
      </c>
      <c r="M74">
        <f t="shared" si="13"/>
        <v>57</v>
      </c>
      <c r="N74" t="str">
        <f t="shared" si="12"/>
        <v>Stevens Point - C - 0004 - Turf 01</v>
      </c>
    </row>
    <row r="75" spans="1:14" x14ac:dyDescent="0.2">
      <c r="A75" t="s">
        <v>274</v>
      </c>
      <c r="B75" t="s">
        <v>6</v>
      </c>
      <c r="C75" t="s">
        <v>7</v>
      </c>
      <c r="D75" s="1" t="s">
        <v>80</v>
      </c>
      <c r="E75" t="s">
        <v>111</v>
      </c>
      <c r="F75" t="s">
        <v>12</v>
      </c>
      <c r="G75">
        <v>42</v>
      </c>
      <c r="H75" t="str">
        <f>_xlfn.XLOOKUP($B75,Table24[Misname],Table24[Canonical],$B75)</f>
        <v>Stevens Point</v>
      </c>
      <c r="I75">
        <f>_xlfn.XLOOKUP($J75,Table4[ward_name],Table4[priority])</f>
        <v>9</v>
      </c>
      <c r="J75" t="str">
        <f t="shared" si="9"/>
        <v>Stevens Point - C - 0004</v>
      </c>
      <c r="K75" t="str">
        <f t="shared" si="10"/>
        <v>57880097-10924</v>
      </c>
      <c r="L75" t="str">
        <f t="shared" si="11"/>
        <v>Turf 02</v>
      </c>
      <c r="M75">
        <f t="shared" si="13"/>
        <v>42</v>
      </c>
      <c r="N75" t="str">
        <f t="shared" si="12"/>
        <v>Stevens Point - C - 0004 - Turf 02</v>
      </c>
    </row>
    <row r="76" spans="1:14" x14ac:dyDescent="0.2">
      <c r="A76" t="s">
        <v>274</v>
      </c>
      <c r="B76" t="s">
        <v>6</v>
      </c>
      <c r="C76" t="s">
        <v>7</v>
      </c>
      <c r="D76" s="1" t="s">
        <v>80</v>
      </c>
      <c r="E76" t="s">
        <v>112</v>
      </c>
      <c r="F76" t="s">
        <v>21</v>
      </c>
      <c r="G76">
        <v>38</v>
      </c>
      <c r="H76" t="str">
        <f>_xlfn.XLOOKUP($B76,Table24[Misname],Table24[Canonical],$B76)</f>
        <v>Stevens Point</v>
      </c>
      <c r="I76">
        <f>_xlfn.XLOOKUP($J76,Table4[ward_name],Table4[priority])</f>
        <v>9</v>
      </c>
      <c r="J76" t="str">
        <f t="shared" si="9"/>
        <v>Stevens Point - C - 0004</v>
      </c>
      <c r="K76" t="str">
        <f t="shared" si="10"/>
        <v>57880098-28491</v>
      </c>
      <c r="L76" t="str">
        <f t="shared" si="11"/>
        <v>Turf 03</v>
      </c>
      <c r="M76">
        <f t="shared" si="13"/>
        <v>38</v>
      </c>
      <c r="N76" t="str">
        <f t="shared" si="12"/>
        <v>Stevens Point - C - 0004 - Turf 03</v>
      </c>
    </row>
    <row r="77" spans="1:14" x14ac:dyDescent="0.2">
      <c r="A77" t="s">
        <v>274</v>
      </c>
      <c r="B77" t="s">
        <v>6</v>
      </c>
      <c r="C77" t="s">
        <v>7</v>
      </c>
      <c r="D77" s="1" t="s">
        <v>80</v>
      </c>
      <c r="E77" t="s">
        <v>113</v>
      </c>
      <c r="F77" t="s">
        <v>14</v>
      </c>
      <c r="G77">
        <v>40</v>
      </c>
      <c r="H77" t="str">
        <f>_xlfn.XLOOKUP($B77,Table24[Misname],Table24[Canonical],$B77)</f>
        <v>Stevens Point</v>
      </c>
      <c r="I77">
        <f>_xlfn.XLOOKUP($J77,Table4[ward_name],Table4[priority])</f>
        <v>9</v>
      </c>
      <c r="J77" t="str">
        <f t="shared" si="9"/>
        <v>Stevens Point - C - 0004</v>
      </c>
      <c r="K77" t="str">
        <f t="shared" si="10"/>
        <v>57880099-78350</v>
      </c>
      <c r="L77" t="str">
        <f t="shared" si="11"/>
        <v>Turf 04</v>
      </c>
      <c r="M77">
        <f t="shared" si="13"/>
        <v>40</v>
      </c>
      <c r="N77" t="str">
        <f t="shared" si="12"/>
        <v>Stevens Point - C - 0004 - Turf 04</v>
      </c>
    </row>
    <row r="78" spans="1:14" x14ac:dyDescent="0.2">
      <c r="A78" t="s">
        <v>275</v>
      </c>
      <c r="B78" t="s">
        <v>6</v>
      </c>
      <c r="C78" t="s">
        <v>7</v>
      </c>
      <c r="D78" s="1" t="s">
        <v>114</v>
      </c>
      <c r="E78" t="s">
        <v>115</v>
      </c>
      <c r="F78" t="s">
        <v>10</v>
      </c>
      <c r="G78">
        <v>44</v>
      </c>
      <c r="H78" t="str">
        <f>_xlfn.XLOOKUP($B78,Table24[Misname],Table24[Canonical],$B78)</f>
        <v>Stevens Point</v>
      </c>
      <c r="I78">
        <f>_xlfn.XLOOKUP($J78,Table4[ward_name],Table4[priority])</f>
        <v>24</v>
      </c>
      <c r="J78" t="str">
        <f t="shared" si="9"/>
        <v>Stevens Point - C - 0019</v>
      </c>
      <c r="K78" t="str">
        <f t="shared" si="10"/>
        <v>57880154-42838</v>
      </c>
      <c r="L78" t="str">
        <f t="shared" si="11"/>
        <v>Turf 01</v>
      </c>
      <c r="M78">
        <f t="shared" si="13"/>
        <v>44</v>
      </c>
      <c r="N78" t="str">
        <f t="shared" si="12"/>
        <v>Stevens Point - C - 0019 - Turf 01</v>
      </c>
    </row>
    <row r="79" spans="1:14" x14ac:dyDescent="0.2">
      <c r="A79" t="s">
        <v>275</v>
      </c>
      <c r="B79" t="s">
        <v>6</v>
      </c>
      <c r="C79" t="s">
        <v>7</v>
      </c>
      <c r="D79" s="1" t="s">
        <v>114</v>
      </c>
      <c r="E79" t="s">
        <v>116</v>
      </c>
      <c r="F79" t="s">
        <v>12</v>
      </c>
      <c r="G79">
        <v>45</v>
      </c>
      <c r="H79" t="str">
        <f>_xlfn.XLOOKUP($B79,Table24[Misname],Table24[Canonical],$B79)</f>
        <v>Stevens Point</v>
      </c>
      <c r="I79">
        <f>_xlfn.XLOOKUP($J79,Table4[ward_name],Table4[priority])</f>
        <v>24</v>
      </c>
      <c r="J79" t="str">
        <f t="shared" si="9"/>
        <v>Stevens Point - C - 0019</v>
      </c>
      <c r="K79" t="str">
        <f t="shared" si="10"/>
        <v>57880155-92697</v>
      </c>
      <c r="L79" t="str">
        <f t="shared" si="11"/>
        <v>Turf 02</v>
      </c>
      <c r="M79">
        <f t="shared" si="13"/>
        <v>45</v>
      </c>
      <c r="N79" t="str">
        <f t="shared" si="12"/>
        <v>Stevens Point - C - 0019 - Turf 02</v>
      </c>
    </row>
    <row r="80" spans="1:14" x14ac:dyDescent="0.2">
      <c r="A80" t="s">
        <v>276</v>
      </c>
      <c r="B80" t="s">
        <v>6</v>
      </c>
      <c r="C80" t="s">
        <v>7</v>
      </c>
      <c r="D80" s="1" t="s">
        <v>117</v>
      </c>
      <c r="E80" t="s">
        <v>118</v>
      </c>
      <c r="F80" t="s">
        <v>10</v>
      </c>
      <c r="G80">
        <v>35</v>
      </c>
      <c r="H80" t="str">
        <f>_xlfn.XLOOKUP($B80,Table24[Misname],Table24[Canonical],$B80)</f>
        <v>Stevens Point</v>
      </c>
      <c r="I80">
        <f>_xlfn.XLOOKUP($J80,Table4[ward_name],Table4[priority])</f>
        <v>18</v>
      </c>
      <c r="J80" t="str">
        <f t="shared" si="9"/>
        <v>Stevens Point - C - 0029</v>
      </c>
      <c r="K80" t="str">
        <f t="shared" si="10"/>
        <v>57880326-92275</v>
      </c>
      <c r="L80" t="str">
        <f t="shared" si="11"/>
        <v>Turf 01</v>
      </c>
      <c r="M80">
        <f t="shared" si="13"/>
        <v>35</v>
      </c>
      <c r="N80" t="str">
        <f t="shared" si="12"/>
        <v>Stevens Point - C - 0029 - Turf 01</v>
      </c>
    </row>
    <row r="81" spans="1:14" x14ac:dyDescent="0.2">
      <c r="A81" t="s">
        <v>277</v>
      </c>
      <c r="B81" t="s">
        <v>47</v>
      </c>
      <c r="C81" t="s">
        <v>7</v>
      </c>
      <c r="D81" s="1" t="s">
        <v>119</v>
      </c>
      <c r="E81" t="s">
        <v>120</v>
      </c>
      <c r="F81" t="s">
        <v>10</v>
      </c>
      <c r="G81">
        <v>34</v>
      </c>
      <c r="H81" t="str">
        <f>_xlfn.XLOOKUP($B81,Table24[Misname],Table24[Canonical],$B81)</f>
        <v>Stevens Point</v>
      </c>
      <c r="I81">
        <f>_xlfn.XLOOKUP($J81,Table4[ward_name],Table4[priority])</f>
        <v>8</v>
      </c>
      <c r="J81" t="str">
        <f t="shared" si="9"/>
        <v>Stevens Point - C - 0025</v>
      </c>
      <c r="K81" t="str">
        <f t="shared" si="10"/>
        <v>57880307-51439</v>
      </c>
      <c r="L81" t="str">
        <f t="shared" si="11"/>
        <v>Turf 01</v>
      </c>
      <c r="M81">
        <f t="shared" si="13"/>
        <v>34</v>
      </c>
      <c r="N81" t="str">
        <f t="shared" si="12"/>
        <v>Stevens Point - C - 0025 - Turf 01</v>
      </c>
    </row>
    <row r="82" spans="1:14" x14ac:dyDescent="0.2">
      <c r="A82" t="s">
        <v>277</v>
      </c>
      <c r="B82" t="s">
        <v>47</v>
      </c>
      <c r="C82" t="s">
        <v>7</v>
      </c>
      <c r="D82" s="1" t="s">
        <v>119</v>
      </c>
      <c r="E82" t="s">
        <v>121</v>
      </c>
      <c r="F82" t="s">
        <v>12</v>
      </c>
      <c r="G82">
        <v>35</v>
      </c>
      <c r="H82" t="str">
        <f>_xlfn.XLOOKUP($B82,Table24[Misname],Table24[Canonical],$B82)</f>
        <v>Stevens Point</v>
      </c>
      <c r="I82">
        <f>_xlfn.XLOOKUP($J82,Table4[ward_name],Table4[priority])</f>
        <v>8</v>
      </c>
      <c r="J82" t="str">
        <f t="shared" si="9"/>
        <v>Stevens Point - C - 0025</v>
      </c>
      <c r="K82" t="str">
        <f t="shared" si="10"/>
        <v>57880308-93449</v>
      </c>
      <c r="L82" t="str">
        <f t="shared" si="11"/>
        <v>Turf 02</v>
      </c>
      <c r="M82">
        <f t="shared" si="13"/>
        <v>35</v>
      </c>
      <c r="N82" t="str">
        <f t="shared" si="12"/>
        <v>Stevens Point - C - 0025 - Turf 02</v>
      </c>
    </row>
    <row r="83" spans="1:14" x14ac:dyDescent="0.2">
      <c r="A83" t="s">
        <v>278</v>
      </c>
      <c r="B83" t="s">
        <v>47</v>
      </c>
      <c r="C83" t="s">
        <v>7</v>
      </c>
      <c r="D83" s="1" t="s">
        <v>43</v>
      </c>
      <c r="E83" t="s">
        <v>122</v>
      </c>
      <c r="F83" t="s">
        <v>10</v>
      </c>
      <c r="G83">
        <v>36</v>
      </c>
      <c r="H83" t="str">
        <f>_xlfn.XLOOKUP($B83,Table24[Misname],Table24[Canonical],$B83)</f>
        <v>Stevens Point</v>
      </c>
      <c r="I83">
        <f>_xlfn.XLOOKUP($J83,Table4[ward_name],Table4[priority])</f>
        <v>6</v>
      </c>
      <c r="J83" t="str">
        <f t="shared" si="9"/>
        <v>Stevens Point - C - 0002</v>
      </c>
      <c r="K83" t="str">
        <f t="shared" si="10"/>
        <v>57880273-16966</v>
      </c>
      <c r="L83" t="str">
        <f t="shared" si="11"/>
        <v>Turf 01</v>
      </c>
      <c r="M83">
        <f t="shared" si="13"/>
        <v>36</v>
      </c>
      <c r="N83" t="str">
        <f t="shared" si="12"/>
        <v>Stevens Point - C - 0002 - Turf 01</v>
      </c>
    </row>
    <row r="84" spans="1:14" x14ac:dyDescent="0.2">
      <c r="A84" t="s">
        <v>278</v>
      </c>
      <c r="B84" t="s">
        <v>47</v>
      </c>
      <c r="C84" t="s">
        <v>7</v>
      </c>
      <c r="D84" s="1" t="s">
        <v>43</v>
      </c>
      <c r="E84" t="s">
        <v>123</v>
      </c>
      <c r="F84" t="s">
        <v>12</v>
      </c>
      <c r="G84">
        <v>42</v>
      </c>
      <c r="H84" t="str">
        <f>_xlfn.XLOOKUP($B84,Table24[Misname],Table24[Canonical],$B84)</f>
        <v>Stevens Point</v>
      </c>
      <c r="I84">
        <f>_xlfn.XLOOKUP($J84,Table4[ward_name],Table4[priority])</f>
        <v>6</v>
      </c>
      <c r="J84" t="str">
        <f t="shared" si="9"/>
        <v>Stevens Point - C - 0002</v>
      </c>
      <c r="K84" t="str">
        <f t="shared" si="10"/>
        <v>57880274-34533</v>
      </c>
      <c r="L84" t="str">
        <f t="shared" si="11"/>
        <v>Turf 02</v>
      </c>
      <c r="M84">
        <f t="shared" si="13"/>
        <v>42</v>
      </c>
      <c r="N84" t="str">
        <f t="shared" si="12"/>
        <v>Stevens Point - C - 0002 - Turf 02</v>
      </c>
    </row>
    <row r="85" spans="1:14" x14ac:dyDescent="0.2">
      <c r="A85" t="s">
        <v>278</v>
      </c>
      <c r="B85" t="s">
        <v>47</v>
      </c>
      <c r="C85" t="s">
        <v>7</v>
      </c>
      <c r="D85" s="1" t="s">
        <v>43</v>
      </c>
      <c r="E85" t="s">
        <v>124</v>
      </c>
      <c r="F85" t="s">
        <v>21</v>
      </c>
      <c r="G85">
        <v>37</v>
      </c>
      <c r="H85" t="str">
        <f>_xlfn.XLOOKUP($B85,Table24[Misname],Table24[Canonical],$B85)</f>
        <v>Stevens Point</v>
      </c>
      <c r="I85">
        <f>_xlfn.XLOOKUP($J85,Table4[ward_name],Table4[priority])</f>
        <v>6</v>
      </c>
      <c r="J85" t="str">
        <f t="shared" si="9"/>
        <v>Stevens Point - C - 0002</v>
      </c>
      <c r="K85" t="str">
        <f t="shared" si="10"/>
        <v>57880275-84392</v>
      </c>
      <c r="L85" t="str">
        <f t="shared" si="11"/>
        <v>Turf 03</v>
      </c>
      <c r="M85">
        <f t="shared" si="13"/>
        <v>37</v>
      </c>
      <c r="N85" t="str">
        <f t="shared" si="12"/>
        <v>Stevens Point - C - 0002 - Turf 03</v>
      </c>
    </row>
    <row r="86" spans="1:14" x14ac:dyDescent="0.2">
      <c r="A86" t="s">
        <v>279</v>
      </c>
      <c r="B86" t="s">
        <v>6</v>
      </c>
      <c r="D86" s="1" t="s">
        <v>125</v>
      </c>
      <c r="E86" t="s">
        <v>126</v>
      </c>
      <c r="F86" t="s">
        <v>10</v>
      </c>
      <c r="G86">
        <v>35</v>
      </c>
      <c r="H86" t="str">
        <f>_xlfn.XLOOKUP($B86,Table24[Misname],Table24[Canonical],$B86)</f>
        <v>Stevens Point</v>
      </c>
      <c r="I86" t="e">
        <f>_xlfn.XLOOKUP($J86,Table4[ward_name],Table4[priority])</f>
        <v>#N/A</v>
      </c>
      <c r="J86" t="str">
        <f t="shared" si="9"/>
        <v>Stevens Point -  - 0033</v>
      </c>
      <c r="K86" t="str">
        <f t="shared" si="10"/>
        <v>57880156-33916</v>
      </c>
      <c r="L86" t="str">
        <f t="shared" si="11"/>
        <v>Turf 01</v>
      </c>
      <c r="M86">
        <f t="shared" si="13"/>
        <v>35</v>
      </c>
      <c r="N86" t="str">
        <f t="shared" si="12"/>
        <v>Stevens Point -  - 0033 - Turf 01</v>
      </c>
    </row>
    <row r="87" spans="1:14" x14ac:dyDescent="0.2">
      <c r="A87" t="s">
        <v>279</v>
      </c>
      <c r="B87" t="s">
        <v>6</v>
      </c>
      <c r="D87" s="1" t="s">
        <v>125</v>
      </c>
      <c r="E87" t="s">
        <v>127</v>
      </c>
      <c r="F87" t="s">
        <v>12</v>
      </c>
      <c r="G87">
        <v>50</v>
      </c>
      <c r="H87" t="str">
        <f>_xlfn.XLOOKUP($B87,Table24[Misname],Table24[Canonical],$B87)</f>
        <v>Stevens Point</v>
      </c>
      <c r="I87" t="e">
        <f>_xlfn.XLOOKUP($J87,Table4[ward_name],Table4[priority])</f>
        <v>#N/A</v>
      </c>
      <c r="J87" t="str">
        <f t="shared" si="9"/>
        <v>Stevens Point -  - 0033</v>
      </c>
      <c r="K87" t="str">
        <f t="shared" si="10"/>
        <v>57880157-83775</v>
      </c>
      <c r="L87" t="str">
        <f t="shared" si="11"/>
        <v>Turf 02</v>
      </c>
      <c r="M87">
        <f t="shared" si="13"/>
        <v>50</v>
      </c>
      <c r="N87" t="str">
        <f t="shared" si="12"/>
        <v>Stevens Point -  - 0033 - Turf 02</v>
      </c>
    </row>
    <row r="88" spans="1:14" x14ac:dyDescent="0.2">
      <c r="A88" t="s">
        <v>280</v>
      </c>
      <c r="B88" t="s">
        <v>6</v>
      </c>
      <c r="C88" t="s">
        <v>7</v>
      </c>
      <c r="D88" s="1" t="s">
        <v>128</v>
      </c>
      <c r="E88" t="s">
        <v>129</v>
      </c>
      <c r="F88" t="s">
        <v>10</v>
      </c>
      <c r="G88">
        <v>53</v>
      </c>
      <c r="H88" t="str">
        <f>_xlfn.XLOOKUP($B88,Table24[Misname],Table24[Canonical],$B88)</f>
        <v>Stevens Point</v>
      </c>
      <c r="I88">
        <f>_xlfn.XLOOKUP($J88,Table4[ward_name],Table4[priority])</f>
        <v>13</v>
      </c>
      <c r="J88" t="str">
        <f t="shared" si="9"/>
        <v>Stevens Point - C - 0021</v>
      </c>
      <c r="K88" t="str">
        <f t="shared" si="10"/>
        <v>57880319-46828</v>
      </c>
      <c r="L88" t="str">
        <f t="shared" si="11"/>
        <v>Turf 01</v>
      </c>
      <c r="M88">
        <f t="shared" si="13"/>
        <v>53</v>
      </c>
      <c r="N88" t="str">
        <f t="shared" si="12"/>
        <v>Stevens Point - C - 0021 - Turf 01</v>
      </c>
    </row>
    <row r="89" spans="1:14" x14ac:dyDescent="0.2">
      <c r="A89" t="s">
        <v>281</v>
      </c>
      <c r="B89" t="s">
        <v>6</v>
      </c>
      <c r="C89" t="s">
        <v>7</v>
      </c>
      <c r="D89" s="1" t="s">
        <v>130</v>
      </c>
      <c r="E89" t="s">
        <v>131</v>
      </c>
      <c r="F89" t="s">
        <v>10</v>
      </c>
      <c r="G89">
        <v>58</v>
      </c>
      <c r="H89" t="str">
        <f>_xlfn.XLOOKUP($B89,Table24[Misname],Table24[Canonical],$B89)</f>
        <v>Stevens Point</v>
      </c>
      <c r="I89">
        <f>_xlfn.XLOOKUP($J89,Table4[ward_name],Table4[priority])</f>
        <v>19</v>
      </c>
      <c r="J89" t="str">
        <f t="shared" si="9"/>
        <v>Stevens Point - C - 0022</v>
      </c>
      <c r="K89" t="str">
        <f t="shared" si="10"/>
        <v>57880323-69808</v>
      </c>
      <c r="L89" t="str">
        <f t="shared" si="11"/>
        <v>Turf 01</v>
      </c>
      <c r="M89">
        <f t="shared" si="13"/>
        <v>58</v>
      </c>
      <c r="N89" t="str">
        <f t="shared" si="12"/>
        <v>Stevens Point - C - 0022 - Turf 01</v>
      </c>
    </row>
    <row r="90" spans="1:14" x14ac:dyDescent="0.2">
      <c r="A90" t="s">
        <v>281</v>
      </c>
      <c r="B90" t="s">
        <v>6</v>
      </c>
      <c r="C90" t="s">
        <v>7</v>
      </c>
      <c r="D90" s="1" t="s">
        <v>130</v>
      </c>
      <c r="E90" t="s">
        <v>132</v>
      </c>
      <c r="F90" t="s">
        <v>12</v>
      </c>
      <c r="G90">
        <v>52</v>
      </c>
      <c r="H90" t="str">
        <f>_xlfn.XLOOKUP($B90,Table24[Misname],Table24[Canonical],$B90)</f>
        <v>Stevens Point</v>
      </c>
      <c r="I90">
        <f>_xlfn.XLOOKUP($J90,Table4[ward_name],Table4[priority])</f>
        <v>19</v>
      </c>
      <c r="J90" t="str">
        <f t="shared" si="9"/>
        <v>Stevens Point - C - 0022</v>
      </c>
      <c r="K90" t="str">
        <f t="shared" si="10"/>
        <v>57880324-87375</v>
      </c>
      <c r="L90" t="str">
        <f t="shared" si="11"/>
        <v>Turf 02</v>
      </c>
      <c r="M90">
        <f t="shared" si="13"/>
        <v>52</v>
      </c>
      <c r="N90" t="str">
        <f t="shared" si="12"/>
        <v>Stevens Point - C - 0022 - Turf 02</v>
      </c>
    </row>
    <row r="91" spans="1:14" x14ac:dyDescent="0.2">
      <c r="A91" t="s">
        <v>281</v>
      </c>
      <c r="B91" t="s">
        <v>6</v>
      </c>
      <c r="C91" t="s">
        <v>7</v>
      </c>
      <c r="D91" s="1" t="s">
        <v>130</v>
      </c>
      <c r="E91" t="s">
        <v>133</v>
      </c>
      <c r="F91" t="s">
        <v>21</v>
      </c>
      <c r="G91">
        <v>43</v>
      </c>
      <c r="H91" t="str">
        <f>_xlfn.XLOOKUP($B91,Table24[Misname],Table24[Canonical],$B91)</f>
        <v>Stevens Point</v>
      </c>
      <c r="I91">
        <f>_xlfn.XLOOKUP($J91,Table4[ward_name],Table4[priority])</f>
        <v>19</v>
      </c>
      <c r="J91" t="str">
        <f t="shared" si="9"/>
        <v>Stevens Point - C - 0022</v>
      </c>
      <c r="K91" t="str">
        <f t="shared" si="10"/>
        <v>57880325-14941</v>
      </c>
      <c r="L91" t="str">
        <f t="shared" si="11"/>
        <v>Turf 03</v>
      </c>
      <c r="M91">
        <f t="shared" si="13"/>
        <v>43</v>
      </c>
      <c r="N91" t="str">
        <f t="shared" si="12"/>
        <v>Stevens Point - C - 0022 - Turf 03</v>
      </c>
    </row>
    <row r="92" spans="1:14" x14ac:dyDescent="0.2">
      <c r="A92" t="s">
        <v>282</v>
      </c>
      <c r="B92" t="s">
        <v>76</v>
      </c>
      <c r="C92" t="s">
        <v>77</v>
      </c>
      <c r="D92" s="1" t="s">
        <v>80</v>
      </c>
      <c r="E92" t="s">
        <v>134</v>
      </c>
      <c r="F92" t="s">
        <v>10</v>
      </c>
      <c r="G92">
        <v>60</v>
      </c>
      <c r="H92" t="str">
        <f>_xlfn.XLOOKUP($B92,Table24[Misname],Table24[Canonical],$B92)</f>
        <v>Hull</v>
      </c>
      <c r="I92">
        <f>_xlfn.XLOOKUP($J92,Table4[ward_name],Table4[priority])</f>
        <v>49</v>
      </c>
      <c r="J92" t="str">
        <f t="shared" si="9"/>
        <v>Hull - T - 0004</v>
      </c>
      <c r="K92" t="str">
        <f t="shared" si="10"/>
        <v>57880059-17571</v>
      </c>
      <c r="L92" t="str">
        <f t="shared" si="11"/>
        <v>Turf 01</v>
      </c>
      <c r="M92">
        <f t="shared" si="13"/>
        <v>60</v>
      </c>
      <c r="N92" t="str">
        <f t="shared" si="12"/>
        <v>Hull - T - 0004 - Turf 01</v>
      </c>
    </row>
    <row r="93" spans="1:14" x14ac:dyDescent="0.2">
      <c r="A93" t="s">
        <v>282</v>
      </c>
      <c r="B93" t="s">
        <v>76</v>
      </c>
      <c r="C93" t="s">
        <v>77</v>
      </c>
      <c r="D93" s="1" t="s">
        <v>80</v>
      </c>
      <c r="E93" t="s">
        <v>135</v>
      </c>
      <c r="F93" t="s">
        <v>12</v>
      </c>
      <c r="G93">
        <v>53</v>
      </c>
      <c r="H93" t="str">
        <f>_xlfn.XLOOKUP($B93,Table24[Misname],Table24[Canonical],$B93)</f>
        <v>Hull</v>
      </c>
      <c r="I93">
        <f>_xlfn.XLOOKUP($J93,Table4[ward_name],Table4[priority])</f>
        <v>49</v>
      </c>
      <c r="J93" t="str">
        <f t="shared" si="9"/>
        <v>Hull - T - 0004</v>
      </c>
      <c r="K93" t="str">
        <f t="shared" si="10"/>
        <v>57880060-67430</v>
      </c>
      <c r="L93" t="str">
        <f t="shared" si="11"/>
        <v>Turf 02</v>
      </c>
      <c r="M93">
        <f t="shared" si="13"/>
        <v>53</v>
      </c>
      <c r="N93" t="str">
        <f t="shared" si="12"/>
        <v>Hull - T - 0004 - Turf 02</v>
      </c>
    </row>
    <row r="94" spans="1:14" x14ac:dyDescent="0.2">
      <c r="A94" t="s">
        <v>283</v>
      </c>
      <c r="B94" t="s">
        <v>22</v>
      </c>
      <c r="C94" t="s">
        <v>16</v>
      </c>
      <c r="D94" s="1" t="s">
        <v>88</v>
      </c>
      <c r="E94" t="s">
        <v>136</v>
      </c>
      <c r="F94" t="s">
        <v>10</v>
      </c>
      <c r="G94">
        <v>38</v>
      </c>
      <c r="H94" t="str">
        <f>_xlfn.XLOOKUP($B94,Table24[Misname],Table24[Canonical],$B94)</f>
        <v>Plover</v>
      </c>
      <c r="I94">
        <f>_xlfn.XLOOKUP($J94,Table4[ward_name],Table4[priority])</f>
        <v>41</v>
      </c>
      <c r="J94" t="str">
        <f t="shared" si="9"/>
        <v>Plover - V - 0006</v>
      </c>
      <c r="K94" t="str">
        <f t="shared" si="10"/>
        <v>57880226-94489</v>
      </c>
      <c r="L94" t="str">
        <f t="shared" si="11"/>
        <v>Turf 01</v>
      </c>
      <c r="M94">
        <f t="shared" si="13"/>
        <v>38</v>
      </c>
      <c r="N94" t="str">
        <f t="shared" si="12"/>
        <v>Plover - V - 0006 - Turf 01</v>
      </c>
    </row>
    <row r="95" spans="1:14" x14ac:dyDescent="0.2">
      <c r="A95" t="s">
        <v>283</v>
      </c>
      <c r="B95" t="s">
        <v>22</v>
      </c>
      <c r="C95" t="s">
        <v>16</v>
      </c>
      <c r="D95" s="1" t="s">
        <v>88</v>
      </c>
      <c r="E95" t="s">
        <v>137</v>
      </c>
      <c r="F95" t="s">
        <v>12</v>
      </c>
      <c r="G95">
        <v>31</v>
      </c>
      <c r="H95" t="str">
        <f>_xlfn.XLOOKUP($B95,Table24[Misname],Table24[Canonical],$B95)</f>
        <v>Plover</v>
      </c>
      <c r="I95">
        <f>_xlfn.XLOOKUP($J95,Table4[ward_name],Table4[priority])</f>
        <v>41</v>
      </c>
      <c r="J95" t="str">
        <f t="shared" si="9"/>
        <v>Plover - V - 0006</v>
      </c>
      <c r="K95" t="str">
        <f t="shared" si="10"/>
        <v>57880227-54348</v>
      </c>
      <c r="L95" t="str">
        <f t="shared" si="11"/>
        <v>Turf 02</v>
      </c>
      <c r="M95">
        <f t="shared" si="13"/>
        <v>31</v>
      </c>
      <c r="N95" t="str">
        <f t="shared" si="12"/>
        <v>Plover - V - 0006 - Turf 02</v>
      </c>
    </row>
    <row r="96" spans="1:14" x14ac:dyDescent="0.2">
      <c r="A96" t="s">
        <v>283</v>
      </c>
      <c r="B96" t="s">
        <v>22</v>
      </c>
      <c r="C96" t="s">
        <v>16</v>
      </c>
      <c r="D96" s="1" t="s">
        <v>88</v>
      </c>
      <c r="E96" t="s">
        <v>138</v>
      </c>
      <c r="F96" t="s">
        <v>21</v>
      </c>
      <c r="G96">
        <v>50</v>
      </c>
      <c r="H96" t="str">
        <f>_xlfn.XLOOKUP($B96,Table24[Misname],Table24[Canonical],$B96)</f>
        <v>Plover</v>
      </c>
      <c r="I96">
        <f>_xlfn.XLOOKUP($J96,Table4[ward_name],Table4[priority])</f>
        <v>41</v>
      </c>
      <c r="J96" t="str">
        <f t="shared" si="9"/>
        <v>Plover - V - 0006</v>
      </c>
      <c r="K96" t="str">
        <f t="shared" si="10"/>
        <v>57880228-71915</v>
      </c>
      <c r="L96" t="str">
        <f t="shared" si="11"/>
        <v>Turf 03</v>
      </c>
      <c r="M96">
        <f t="shared" si="13"/>
        <v>50</v>
      </c>
      <c r="N96" t="str">
        <f t="shared" si="12"/>
        <v>Plover - V - 0006 - Turf 03</v>
      </c>
    </row>
    <row r="97" spans="1:14" x14ac:dyDescent="0.2">
      <c r="A97" t="s">
        <v>283</v>
      </c>
      <c r="B97" t="s">
        <v>22</v>
      </c>
      <c r="C97" t="s">
        <v>16</v>
      </c>
      <c r="D97" s="1" t="s">
        <v>88</v>
      </c>
      <c r="E97" t="s">
        <v>139</v>
      </c>
      <c r="F97" t="s">
        <v>14</v>
      </c>
      <c r="G97">
        <v>48</v>
      </c>
      <c r="H97" t="str">
        <f>_xlfn.XLOOKUP($B97,Table24[Misname],Table24[Canonical],$B97)</f>
        <v>Plover</v>
      </c>
      <c r="I97">
        <f>_xlfn.XLOOKUP($J97,Table4[ward_name],Table4[priority])</f>
        <v>41</v>
      </c>
      <c r="J97" t="str">
        <f t="shared" si="9"/>
        <v>Plover - V - 0006</v>
      </c>
      <c r="K97" t="str">
        <f t="shared" si="10"/>
        <v>57880229-89481</v>
      </c>
      <c r="L97" t="str">
        <f t="shared" si="11"/>
        <v>Turf 04</v>
      </c>
      <c r="M97">
        <f t="shared" si="13"/>
        <v>48</v>
      </c>
      <c r="N97" t="str">
        <f t="shared" si="12"/>
        <v>Plover - V - 0006 - Turf 04</v>
      </c>
    </row>
    <row r="98" spans="1:14" x14ac:dyDescent="0.2">
      <c r="A98" t="s">
        <v>284</v>
      </c>
      <c r="B98" t="s">
        <v>22</v>
      </c>
      <c r="C98" t="s">
        <v>16</v>
      </c>
      <c r="D98" s="1" t="s">
        <v>140</v>
      </c>
      <c r="E98" t="s">
        <v>141</v>
      </c>
      <c r="F98" t="s">
        <v>10</v>
      </c>
      <c r="G98">
        <v>34</v>
      </c>
      <c r="H98" t="str">
        <f>_xlfn.XLOOKUP($B98,Table24[Misname],Table24[Canonical],$B98)</f>
        <v>Plover</v>
      </c>
      <c r="I98">
        <f>_xlfn.XLOOKUP($J98,Table4[ward_name],Table4[priority])</f>
        <v>29</v>
      </c>
      <c r="J98" t="str">
        <f t="shared" si="9"/>
        <v>Plover - V - 0009</v>
      </c>
      <c r="K98" t="str">
        <f t="shared" si="10"/>
        <v>57880262-79574</v>
      </c>
      <c r="L98" t="str">
        <f t="shared" si="11"/>
        <v>Turf 01</v>
      </c>
      <c r="M98">
        <f t="shared" si="13"/>
        <v>34</v>
      </c>
      <c r="N98" t="str">
        <f t="shared" si="12"/>
        <v>Plover - V - 0009 - Turf 01</v>
      </c>
    </row>
    <row r="99" spans="1:14" x14ac:dyDescent="0.2">
      <c r="A99" t="s">
        <v>284</v>
      </c>
      <c r="B99" t="s">
        <v>22</v>
      </c>
      <c r="C99" t="s">
        <v>16</v>
      </c>
      <c r="D99" s="1" t="s">
        <v>140</v>
      </c>
      <c r="E99" t="s">
        <v>142</v>
      </c>
      <c r="F99" t="s">
        <v>12</v>
      </c>
      <c r="G99">
        <v>32</v>
      </c>
      <c r="H99" t="str">
        <f>_xlfn.XLOOKUP($B99,Table24[Misname],Table24[Canonical],$B99)</f>
        <v>Plover</v>
      </c>
      <c r="I99">
        <f>_xlfn.XLOOKUP($J99,Table4[ward_name],Table4[priority])</f>
        <v>29</v>
      </c>
      <c r="J99" t="str">
        <f t="shared" ref="J99:J130" si="14">$H99&amp;" - "&amp;$C99&amp;" - "&amp;$D99</f>
        <v>Plover - V - 0009</v>
      </c>
      <c r="K99" t="str">
        <f t="shared" ref="K99:K130" si="15">$E99</f>
        <v>57880263-54159</v>
      </c>
      <c r="L99" t="str">
        <f t="shared" ref="L99:L130" si="16">$F99</f>
        <v>Turf 02</v>
      </c>
      <c r="M99">
        <f t="shared" si="13"/>
        <v>32</v>
      </c>
      <c r="N99" t="str">
        <f t="shared" ref="N99:N130" si="17">$J99&amp;" - "&amp;$L99</f>
        <v>Plover - V - 0009 - Turf 02</v>
      </c>
    </row>
    <row r="100" spans="1:14" x14ac:dyDescent="0.2">
      <c r="A100" t="s">
        <v>284</v>
      </c>
      <c r="B100" t="s">
        <v>22</v>
      </c>
      <c r="C100" t="s">
        <v>16</v>
      </c>
      <c r="D100" s="1" t="s">
        <v>140</v>
      </c>
      <c r="E100" t="s">
        <v>143</v>
      </c>
      <c r="F100" t="s">
        <v>21</v>
      </c>
      <c r="G100">
        <v>30</v>
      </c>
      <c r="H100" t="str">
        <f>_xlfn.XLOOKUP($B100,Table24[Misname],Table24[Canonical],$B100)</f>
        <v>Plover</v>
      </c>
      <c r="I100">
        <f>_xlfn.XLOOKUP($J100,Table4[ward_name],Table4[priority])</f>
        <v>29</v>
      </c>
      <c r="J100" t="str">
        <f t="shared" si="14"/>
        <v>Plover - V - 0009</v>
      </c>
      <c r="K100" t="str">
        <f t="shared" si="15"/>
        <v>57880264-71725</v>
      </c>
      <c r="L100" t="str">
        <f t="shared" si="16"/>
        <v>Turf 03</v>
      </c>
      <c r="M100">
        <f t="shared" si="13"/>
        <v>30</v>
      </c>
      <c r="N100" t="str">
        <f t="shared" si="17"/>
        <v>Plover - V - 0009 - Turf 03</v>
      </c>
    </row>
    <row r="101" spans="1:14" x14ac:dyDescent="0.2">
      <c r="A101" t="s">
        <v>285</v>
      </c>
      <c r="B101" t="s">
        <v>6</v>
      </c>
      <c r="C101" t="s">
        <v>7</v>
      </c>
      <c r="D101" s="1" t="s">
        <v>144</v>
      </c>
      <c r="E101" t="s">
        <v>145</v>
      </c>
      <c r="F101" t="s">
        <v>10</v>
      </c>
      <c r="G101">
        <v>33</v>
      </c>
      <c r="H101" t="str">
        <f>_xlfn.XLOOKUP($B101,Table24[Misname],Table24[Canonical],$B101)</f>
        <v>Stevens Point</v>
      </c>
      <c r="I101">
        <f>_xlfn.XLOOKUP($J101,Table4[ward_name],Table4[priority])</f>
        <v>17</v>
      </c>
      <c r="J101" t="str">
        <f t="shared" si="14"/>
        <v>Stevens Point - C - 0031</v>
      </c>
      <c r="K101" t="str">
        <f t="shared" si="15"/>
        <v>57880330-64792</v>
      </c>
      <c r="L101" t="str">
        <f t="shared" si="16"/>
        <v>Turf 01</v>
      </c>
      <c r="M101">
        <f t="shared" si="13"/>
        <v>33</v>
      </c>
      <c r="N101" t="str">
        <f t="shared" si="17"/>
        <v>Stevens Point - C - 0031 - Turf 01</v>
      </c>
    </row>
    <row r="102" spans="1:14" x14ac:dyDescent="0.2">
      <c r="A102" t="s">
        <v>286</v>
      </c>
      <c r="B102" t="s">
        <v>6</v>
      </c>
      <c r="C102" t="s">
        <v>7</v>
      </c>
      <c r="D102" s="1" t="s">
        <v>146</v>
      </c>
      <c r="E102" t="s">
        <v>147</v>
      </c>
      <c r="F102" t="s">
        <v>10</v>
      </c>
      <c r="G102">
        <v>36</v>
      </c>
      <c r="H102" t="str">
        <f>_xlfn.XLOOKUP($B102,Table24[Misname],Table24[Canonical],$B102)</f>
        <v>Stevens Point</v>
      </c>
      <c r="I102">
        <f>_xlfn.XLOOKUP($J102,Table4[ward_name],Table4[priority])</f>
        <v>14</v>
      </c>
      <c r="J102" t="str">
        <f t="shared" si="14"/>
        <v>Stevens Point - C - 0015</v>
      </c>
      <c r="K102" t="str">
        <f t="shared" si="15"/>
        <v>57880313-52713</v>
      </c>
      <c r="L102" t="str">
        <f t="shared" si="16"/>
        <v>Turf 01</v>
      </c>
      <c r="M102">
        <f t="shared" si="13"/>
        <v>36</v>
      </c>
      <c r="N102" t="str">
        <f t="shared" si="17"/>
        <v>Stevens Point - C - 0015 - Turf 01</v>
      </c>
    </row>
    <row r="103" spans="1:14" x14ac:dyDescent="0.2">
      <c r="A103" t="s">
        <v>286</v>
      </c>
      <c r="B103" t="s">
        <v>6</v>
      </c>
      <c r="C103" t="s">
        <v>7</v>
      </c>
      <c r="D103" s="1" t="s">
        <v>146</v>
      </c>
      <c r="E103" t="s">
        <v>148</v>
      </c>
      <c r="F103" t="s">
        <v>12</v>
      </c>
      <c r="G103">
        <v>43</v>
      </c>
      <c r="H103" t="str">
        <f>_xlfn.XLOOKUP($B103,Table24[Misname],Table24[Canonical],$B103)</f>
        <v>Stevens Point</v>
      </c>
      <c r="I103">
        <f>_xlfn.XLOOKUP($J103,Table4[ward_name],Table4[priority])</f>
        <v>14</v>
      </c>
      <c r="J103" t="str">
        <f t="shared" si="14"/>
        <v>Stevens Point - C - 0015</v>
      </c>
      <c r="K103" t="str">
        <f t="shared" si="15"/>
        <v>57880314-70280</v>
      </c>
      <c r="L103" t="str">
        <f t="shared" si="16"/>
        <v>Turf 02</v>
      </c>
      <c r="M103">
        <f t="shared" si="13"/>
        <v>43</v>
      </c>
      <c r="N103" t="str">
        <f t="shared" si="17"/>
        <v>Stevens Point - C - 0015 - Turf 02</v>
      </c>
    </row>
    <row r="104" spans="1:14" x14ac:dyDescent="0.2">
      <c r="A104" t="s">
        <v>286</v>
      </c>
      <c r="B104" t="s">
        <v>6</v>
      </c>
      <c r="C104" t="s">
        <v>7</v>
      </c>
      <c r="D104" s="1" t="s">
        <v>146</v>
      </c>
      <c r="E104" t="s">
        <v>149</v>
      </c>
      <c r="F104" t="s">
        <v>21</v>
      </c>
      <c r="G104">
        <v>52</v>
      </c>
      <c r="H104" t="str">
        <f>_xlfn.XLOOKUP($B104,Table24[Misname],Table24[Canonical],$B104)</f>
        <v>Stevens Point</v>
      </c>
      <c r="I104">
        <f>_xlfn.XLOOKUP($J104,Table4[ward_name],Table4[priority])</f>
        <v>14</v>
      </c>
      <c r="J104" t="str">
        <f t="shared" si="14"/>
        <v>Stevens Point - C - 0015</v>
      </c>
      <c r="K104" t="str">
        <f t="shared" si="15"/>
        <v>57880315-30139</v>
      </c>
      <c r="L104" t="str">
        <f t="shared" si="16"/>
        <v>Turf 03</v>
      </c>
      <c r="M104">
        <f t="shared" si="13"/>
        <v>52</v>
      </c>
      <c r="N104" t="str">
        <f t="shared" si="17"/>
        <v>Stevens Point - C - 0015 - Turf 03</v>
      </c>
    </row>
    <row r="105" spans="1:14" x14ac:dyDescent="0.2">
      <c r="A105" t="s">
        <v>287</v>
      </c>
      <c r="B105" t="s">
        <v>6</v>
      </c>
      <c r="C105" t="s">
        <v>7</v>
      </c>
      <c r="D105" s="1" t="s">
        <v>150</v>
      </c>
      <c r="E105" t="s">
        <v>151</v>
      </c>
      <c r="F105" t="s">
        <v>10</v>
      </c>
      <c r="G105">
        <v>51</v>
      </c>
      <c r="H105" t="str">
        <f>_xlfn.XLOOKUP($B105,Table24[Misname],Table24[Canonical],$B105)</f>
        <v>Stevens Point</v>
      </c>
      <c r="I105">
        <f>_xlfn.XLOOKUP($J105,Table4[ward_name],Table4[priority])</f>
        <v>42</v>
      </c>
      <c r="J105" t="str">
        <f t="shared" si="14"/>
        <v>Stevens Point - C - 0016</v>
      </c>
      <c r="K105" t="str">
        <f t="shared" si="15"/>
        <v>57880152-89254</v>
      </c>
      <c r="L105" t="str">
        <f t="shared" si="16"/>
        <v>Turf 01</v>
      </c>
      <c r="M105">
        <f t="shared" si="13"/>
        <v>51</v>
      </c>
      <c r="N105" t="str">
        <f t="shared" si="17"/>
        <v>Stevens Point - C - 0016 - Turf 01</v>
      </c>
    </row>
    <row r="106" spans="1:14" x14ac:dyDescent="0.2">
      <c r="A106" t="s">
        <v>287</v>
      </c>
      <c r="B106" t="s">
        <v>6</v>
      </c>
      <c r="C106" t="s">
        <v>7</v>
      </c>
      <c r="D106" s="1" t="s">
        <v>150</v>
      </c>
      <c r="E106" t="s">
        <v>152</v>
      </c>
      <c r="F106" t="s">
        <v>12</v>
      </c>
      <c r="G106">
        <v>49</v>
      </c>
      <c r="H106" t="str">
        <f>_xlfn.XLOOKUP($B106,Table24[Misname],Table24[Canonical],$B106)</f>
        <v>Stevens Point</v>
      </c>
      <c r="I106">
        <f>_xlfn.XLOOKUP($J106,Table4[ward_name],Table4[priority])</f>
        <v>42</v>
      </c>
      <c r="J106" t="str">
        <f t="shared" si="14"/>
        <v>Stevens Point - C - 0016</v>
      </c>
      <c r="K106" t="str">
        <f t="shared" si="15"/>
        <v>57880153-34387</v>
      </c>
      <c r="L106" t="str">
        <f t="shared" si="16"/>
        <v>Turf 02</v>
      </c>
      <c r="M106">
        <f t="shared" si="13"/>
        <v>49</v>
      </c>
      <c r="N106" t="str">
        <f t="shared" si="17"/>
        <v>Stevens Point - C - 0016 - Turf 02</v>
      </c>
    </row>
    <row r="107" spans="1:14" x14ac:dyDescent="0.2">
      <c r="A107" t="s">
        <v>288</v>
      </c>
      <c r="B107" t="s">
        <v>6</v>
      </c>
      <c r="C107" t="s">
        <v>7</v>
      </c>
      <c r="D107" s="1" t="s">
        <v>153</v>
      </c>
      <c r="E107" t="s">
        <v>154</v>
      </c>
      <c r="F107" t="s">
        <v>10</v>
      </c>
      <c r="G107">
        <v>32</v>
      </c>
      <c r="H107" t="str">
        <f>_xlfn.XLOOKUP($B107,Table24[Misname],Table24[Canonical],$B107)</f>
        <v>Stevens Point</v>
      </c>
      <c r="I107">
        <f>_xlfn.XLOOKUP($J107,Table4[ward_name],Table4[priority])</f>
        <v>21</v>
      </c>
      <c r="J107" t="str">
        <f t="shared" si="14"/>
        <v>Stevens Point - C - 0011</v>
      </c>
      <c r="K107" t="str">
        <f t="shared" si="15"/>
        <v>57880075-60169</v>
      </c>
      <c r="L107" t="str">
        <f t="shared" si="16"/>
        <v>Turf 01</v>
      </c>
      <c r="M107">
        <f t="shared" si="13"/>
        <v>32</v>
      </c>
      <c r="N107" t="str">
        <f t="shared" si="17"/>
        <v>Stevens Point - C - 0011 - Turf 01</v>
      </c>
    </row>
    <row r="108" spans="1:14" x14ac:dyDescent="0.2">
      <c r="A108" t="s">
        <v>288</v>
      </c>
      <c r="B108" t="s">
        <v>6</v>
      </c>
      <c r="C108" t="s">
        <v>7</v>
      </c>
      <c r="D108" s="1" t="s">
        <v>153</v>
      </c>
      <c r="E108" t="s">
        <v>155</v>
      </c>
      <c r="F108" t="s">
        <v>12</v>
      </c>
      <c r="G108">
        <v>43</v>
      </c>
      <c r="H108" t="str">
        <f>_xlfn.XLOOKUP($B108,Table24[Misname],Table24[Canonical],$B108)</f>
        <v>Stevens Point</v>
      </c>
      <c r="I108">
        <f>_xlfn.XLOOKUP($J108,Table4[ward_name],Table4[priority])</f>
        <v>21</v>
      </c>
      <c r="J108" t="str">
        <f t="shared" si="14"/>
        <v>Stevens Point - C - 0011</v>
      </c>
      <c r="K108" t="str">
        <f t="shared" si="15"/>
        <v>57880076-63010</v>
      </c>
      <c r="L108" t="str">
        <f t="shared" si="16"/>
        <v>Turf 02</v>
      </c>
      <c r="M108">
        <f t="shared" si="13"/>
        <v>43</v>
      </c>
      <c r="N108" t="str">
        <f t="shared" si="17"/>
        <v>Stevens Point - C - 0011 - Turf 02</v>
      </c>
    </row>
    <row r="109" spans="1:14" x14ac:dyDescent="0.2">
      <c r="A109" t="s">
        <v>288</v>
      </c>
      <c r="B109" t="s">
        <v>6</v>
      </c>
      <c r="C109" t="s">
        <v>7</v>
      </c>
      <c r="D109" s="1" t="s">
        <v>153</v>
      </c>
      <c r="E109" t="s">
        <v>156</v>
      </c>
      <c r="F109" t="s">
        <v>21</v>
      </c>
      <c r="G109">
        <v>45</v>
      </c>
      <c r="H109" t="str">
        <f>_xlfn.XLOOKUP($B109,Table24[Misname],Table24[Canonical],$B109)</f>
        <v>Stevens Point</v>
      </c>
      <c r="I109">
        <f>_xlfn.XLOOKUP($J109,Table4[ward_name],Table4[priority])</f>
        <v>21</v>
      </c>
      <c r="J109" t="str">
        <f t="shared" si="14"/>
        <v>Stevens Point - C - 0011</v>
      </c>
      <c r="K109" t="str">
        <f t="shared" si="15"/>
        <v>57880077-55161</v>
      </c>
      <c r="L109" t="str">
        <f t="shared" si="16"/>
        <v>Turf 03</v>
      </c>
      <c r="M109">
        <f t="shared" si="13"/>
        <v>45</v>
      </c>
      <c r="N109" t="str">
        <f t="shared" si="17"/>
        <v>Stevens Point - C - 0011 - Turf 03</v>
      </c>
    </row>
    <row r="110" spans="1:14" x14ac:dyDescent="0.2">
      <c r="A110" t="s">
        <v>289</v>
      </c>
      <c r="B110" t="s">
        <v>6</v>
      </c>
      <c r="C110" t="s">
        <v>7</v>
      </c>
      <c r="D110" s="1" t="s">
        <v>157</v>
      </c>
      <c r="E110" t="s">
        <v>158</v>
      </c>
      <c r="F110" t="s">
        <v>10</v>
      </c>
      <c r="G110">
        <v>53</v>
      </c>
      <c r="H110" t="str">
        <f>_xlfn.XLOOKUP($B110,Table24[Misname],Table24[Canonical],$B110)</f>
        <v>Stevens Point</v>
      </c>
      <c r="I110">
        <f>_xlfn.XLOOKUP($J110,Table4[ward_name],Table4[priority])</f>
        <v>15</v>
      </c>
      <c r="J110" t="str">
        <f t="shared" si="14"/>
        <v>Stevens Point - C - 0005</v>
      </c>
      <c r="K110" t="str">
        <f t="shared" si="15"/>
        <v>57880335-22607</v>
      </c>
      <c r="L110" t="str">
        <f t="shared" si="16"/>
        <v>Turf 01</v>
      </c>
      <c r="M110">
        <f t="shared" si="13"/>
        <v>53</v>
      </c>
      <c r="N110" t="str">
        <f t="shared" si="17"/>
        <v>Stevens Point - C - 0005 - Turf 01</v>
      </c>
    </row>
    <row r="111" spans="1:14" x14ac:dyDescent="0.2">
      <c r="A111" t="s">
        <v>289</v>
      </c>
      <c r="B111" t="s">
        <v>6</v>
      </c>
      <c r="C111" t="s">
        <v>7</v>
      </c>
      <c r="D111" s="1" t="s">
        <v>157</v>
      </c>
      <c r="E111" t="s">
        <v>159</v>
      </c>
      <c r="F111" t="s">
        <v>12</v>
      </c>
      <c r="G111">
        <v>53</v>
      </c>
      <c r="H111" t="str">
        <f>_xlfn.XLOOKUP($B111,Table24[Misname],Table24[Canonical],$B111)</f>
        <v>Stevens Point</v>
      </c>
      <c r="I111">
        <f>_xlfn.XLOOKUP($J111,Table4[ward_name],Table4[priority])</f>
        <v>15</v>
      </c>
      <c r="J111" t="str">
        <f t="shared" si="14"/>
        <v>Stevens Point - C - 0005</v>
      </c>
      <c r="K111" t="str">
        <f t="shared" si="15"/>
        <v>57880336-72467</v>
      </c>
      <c r="L111" t="str">
        <f t="shared" si="16"/>
        <v>Turf 02</v>
      </c>
      <c r="M111">
        <f t="shared" si="13"/>
        <v>53</v>
      </c>
      <c r="N111" t="str">
        <f t="shared" si="17"/>
        <v>Stevens Point - C - 0005 - Turf 02</v>
      </c>
    </row>
    <row r="112" spans="1:14" x14ac:dyDescent="0.2">
      <c r="A112" t="s">
        <v>290</v>
      </c>
      <c r="B112" t="s">
        <v>98</v>
      </c>
      <c r="C112" t="s">
        <v>16</v>
      </c>
      <c r="D112" s="1" t="s">
        <v>17</v>
      </c>
      <c r="E112" t="s">
        <v>160</v>
      </c>
      <c r="F112" t="s">
        <v>10</v>
      </c>
      <c r="G112">
        <v>29</v>
      </c>
      <c r="H112" t="str">
        <f>_xlfn.XLOOKUP($B112,Table24[Misname],Table24[Canonical],$B112)</f>
        <v>Amherst</v>
      </c>
      <c r="I112">
        <f>_xlfn.XLOOKUP($J112,Table4[ward_name],Table4[priority])</f>
        <v>45</v>
      </c>
      <c r="J112" t="str">
        <f t="shared" si="14"/>
        <v>Amherst - V - 0001</v>
      </c>
      <c r="K112" t="str">
        <f t="shared" si="15"/>
        <v>57880207-93883</v>
      </c>
      <c r="L112" t="str">
        <f t="shared" si="16"/>
        <v>Turf 01</v>
      </c>
      <c r="M112">
        <f t="shared" si="13"/>
        <v>29</v>
      </c>
      <c r="N112" t="str">
        <f t="shared" si="17"/>
        <v>Amherst - V - 0001 - Turf 01</v>
      </c>
    </row>
    <row r="113" spans="1:14" x14ac:dyDescent="0.2">
      <c r="A113" t="s">
        <v>290</v>
      </c>
      <c r="B113" t="s">
        <v>98</v>
      </c>
      <c r="C113" t="s">
        <v>16</v>
      </c>
      <c r="D113" s="1" t="s">
        <v>17</v>
      </c>
      <c r="E113" t="s">
        <v>161</v>
      </c>
      <c r="F113" t="s">
        <v>12</v>
      </c>
      <c r="G113">
        <v>34</v>
      </c>
      <c r="H113" t="str">
        <f>_xlfn.XLOOKUP($B113,Table24[Misname],Table24[Canonical],$B113)</f>
        <v>Amherst</v>
      </c>
      <c r="I113">
        <f>_xlfn.XLOOKUP($J113,Table4[ward_name],Table4[priority])</f>
        <v>45</v>
      </c>
      <c r="J113" t="str">
        <f t="shared" si="14"/>
        <v>Amherst - V - 0001</v>
      </c>
      <c r="K113" t="str">
        <f t="shared" si="15"/>
        <v>57880208-21449</v>
      </c>
      <c r="L113" t="str">
        <f t="shared" si="16"/>
        <v>Turf 02</v>
      </c>
      <c r="M113">
        <f t="shared" si="13"/>
        <v>34</v>
      </c>
      <c r="N113" t="str">
        <f t="shared" si="17"/>
        <v>Amherst - V - 0001 - Turf 02</v>
      </c>
    </row>
    <row r="114" spans="1:14" x14ac:dyDescent="0.2">
      <c r="A114" t="s">
        <v>291</v>
      </c>
      <c r="B114" t="s">
        <v>47</v>
      </c>
      <c r="C114" t="s">
        <v>7</v>
      </c>
      <c r="D114" s="1" t="s">
        <v>140</v>
      </c>
      <c r="E114" t="s">
        <v>162</v>
      </c>
      <c r="F114" t="s">
        <v>10</v>
      </c>
      <c r="G114">
        <v>45</v>
      </c>
      <c r="H114" t="str">
        <f>_xlfn.XLOOKUP($B114,Table24[Misname],Table24[Canonical],$B114)</f>
        <v>Stevens Point</v>
      </c>
      <c r="I114">
        <f>_xlfn.XLOOKUP($J114,Table4[ward_name],Table4[priority])</f>
        <v>4</v>
      </c>
      <c r="J114" t="str">
        <f t="shared" si="14"/>
        <v>Stevens Point - C - 0009</v>
      </c>
      <c r="K114" t="str">
        <f t="shared" si="15"/>
        <v>57880090-99062</v>
      </c>
      <c r="L114" t="str">
        <f t="shared" si="16"/>
        <v>Turf 01</v>
      </c>
      <c r="M114">
        <f t="shared" si="13"/>
        <v>45</v>
      </c>
      <c r="N114" t="str">
        <f t="shared" si="17"/>
        <v>Stevens Point - C - 0009 - Turf 01</v>
      </c>
    </row>
    <row r="115" spans="1:14" x14ac:dyDescent="0.2">
      <c r="A115" t="s">
        <v>291</v>
      </c>
      <c r="B115" t="s">
        <v>47</v>
      </c>
      <c r="C115" t="s">
        <v>7</v>
      </c>
      <c r="D115" s="1" t="s">
        <v>140</v>
      </c>
      <c r="E115" t="s">
        <v>163</v>
      </c>
      <c r="F115" t="s">
        <v>12</v>
      </c>
      <c r="G115">
        <v>39</v>
      </c>
      <c r="H115" t="str">
        <f>_xlfn.XLOOKUP($B115,Table24[Misname],Table24[Canonical],$B115)</f>
        <v>Stevens Point</v>
      </c>
      <c r="I115">
        <f>_xlfn.XLOOKUP($J115,Table4[ward_name],Table4[priority])</f>
        <v>4</v>
      </c>
      <c r="J115" t="str">
        <f t="shared" si="14"/>
        <v>Stevens Point - C - 0009</v>
      </c>
      <c r="K115" t="str">
        <f t="shared" si="15"/>
        <v>57880091-26628</v>
      </c>
      <c r="L115" t="str">
        <f t="shared" si="16"/>
        <v>Turf 02</v>
      </c>
      <c r="M115">
        <f t="shared" si="13"/>
        <v>39</v>
      </c>
      <c r="N115" t="str">
        <f t="shared" si="17"/>
        <v>Stevens Point - C - 0009 - Turf 02</v>
      </c>
    </row>
    <row r="116" spans="1:14" x14ac:dyDescent="0.2">
      <c r="A116" t="s">
        <v>291</v>
      </c>
      <c r="B116" t="s">
        <v>47</v>
      </c>
      <c r="C116" t="s">
        <v>7</v>
      </c>
      <c r="D116" s="1" t="s">
        <v>140</v>
      </c>
      <c r="E116" t="s">
        <v>164</v>
      </c>
      <c r="F116" t="s">
        <v>21</v>
      </c>
      <c r="G116">
        <v>33</v>
      </c>
      <c r="H116" t="str">
        <f>_xlfn.XLOOKUP($B116,Table24[Misname],Table24[Canonical],$B116)</f>
        <v>Stevens Point</v>
      </c>
      <c r="I116">
        <f>_xlfn.XLOOKUP($J116,Table4[ward_name],Table4[priority])</f>
        <v>4</v>
      </c>
      <c r="J116" t="str">
        <f t="shared" si="14"/>
        <v>Stevens Point - C - 0009</v>
      </c>
      <c r="K116" t="str">
        <f t="shared" si="15"/>
        <v>57880092-44195</v>
      </c>
      <c r="L116" t="str">
        <f t="shared" si="16"/>
        <v>Turf 03</v>
      </c>
      <c r="M116">
        <f t="shared" si="13"/>
        <v>33</v>
      </c>
      <c r="N116" t="str">
        <f t="shared" si="17"/>
        <v>Stevens Point - C - 0009 - Turf 03</v>
      </c>
    </row>
    <row r="117" spans="1:14" x14ac:dyDescent="0.2">
      <c r="A117" t="s">
        <v>292</v>
      </c>
      <c r="B117" t="s">
        <v>6</v>
      </c>
      <c r="C117" t="s">
        <v>7</v>
      </c>
      <c r="D117" s="1" t="s">
        <v>106</v>
      </c>
      <c r="E117" t="s">
        <v>165</v>
      </c>
      <c r="F117" t="s">
        <v>10</v>
      </c>
      <c r="G117">
        <v>35</v>
      </c>
      <c r="H117" t="str">
        <f>_xlfn.XLOOKUP($B117,Table24[Misname],Table24[Canonical],$B117)</f>
        <v>Stevens Point</v>
      </c>
      <c r="I117">
        <f>_xlfn.XLOOKUP($J117,Table4[ward_name],Table4[priority])</f>
        <v>11</v>
      </c>
      <c r="J117" t="str">
        <f t="shared" si="14"/>
        <v>Stevens Point - C - 0003</v>
      </c>
      <c r="K117" t="str">
        <f t="shared" si="15"/>
        <v>57880182-74164</v>
      </c>
      <c r="L117" t="str">
        <f t="shared" si="16"/>
        <v>Turf 01</v>
      </c>
      <c r="M117">
        <f t="shared" si="13"/>
        <v>35</v>
      </c>
      <c r="N117" t="str">
        <f t="shared" si="17"/>
        <v>Stevens Point - C - 0003 - Turf 01</v>
      </c>
    </row>
    <row r="118" spans="1:14" x14ac:dyDescent="0.2">
      <c r="A118" t="s">
        <v>292</v>
      </c>
      <c r="B118" t="s">
        <v>6</v>
      </c>
      <c r="C118" t="s">
        <v>7</v>
      </c>
      <c r="D118" s="1" t="s">
        <v>106</v>
      </c>
      <c r="E118" t="s">
        <v>166</v>
      </c>
      <c r="F118" t="s">
        <v>12</v>
      </c>
      <c r="G118">
        <v>40</v>
      </c>
      <c r="H118" t="str">
        <f>_xlfn.XLOOKUP($B118,Table24[Misname],Table24[Canonical],$B118)</f>
        <v>Stevens Point</v>
      </c>
      <c r="I118">
        <f>_xlfn.XLOOKUP($J118,Table4[ward_name],Table4[priority])</f>
        <v>11</v>
      </c>
      <c r="J118" t="str">
        <f t="shared" si="14"/>
        <v>Stevens Point - C - 0003</v>
      </c>
      <c r="K118" t="str">
        <f t="shared" si="15"/>
        <v>57880183-91731</v>
      </c>
      <c r="L118" t="str">
        <f t="shared" si="16"/>
        <v>Turf 02</v>
      </c>
      <c r="M118">
        <f t="shared" si="13"/>
        <v>40</v>
      </c>
      <c r="N118" t="str">
        <f t="shared" si="17"/>
        <v>Stevens Point - C - 0003 - Turf 02</v>
      </c>
    </row>
    <row r="119" spans="1:14" x14ac:dyDescent="0.2">
      <c r="A119" t="s">
        <v>293</v>
      </c>
      <c r="B119" t="s">
        <v>6</v>
      </c>
      <c r="C119" t="s">
        <v>7</v>
      </c>
      <c r="D119" s="1" t="s">
        <v>167</v>
      </c>
      <c r="E119" t="s">
        <v>168</v>
      </c>
      <c r="F119" t="s">
        <v>10</v>
      </c>
      <c r="G119">
        <v>52</v>
      </c>
      <c r="H119" t="str">
        <f>_xlfn.XLOOKUP($B119,Table24[Misname],Table24[Canonical],$B119)</f>
        <v>Stevens Point</v>
      </c>
      <c r="I119">
        <f>_xlfn.XLOOKUP($J119,Table4[ward_name],Table4[priority])</f>
        <v>32</v>
      </c>
      <c r="J119" t="str">
        <f t="shared" si="14"/>
        <v>Stevens Point - C - 0030</v>
      </c>
      <c r="K119" t="str">
        <f t="shared" si="15"/>
        <v>57880177-76804</v>
      </c>
      <c r="L119" t="str">
        <f t="shared" si="16"/>
        <v>Turf 01</v>
      </c>
      <c r="M119">
        <f t="shared" si="13"/>
        <v>52</v>
      </c>
      <c r="N119" t="str">
        <f t="shared" si="17"/>
        <v>Stevens Point - C - 0030 - Turf 01</v>
      </c>
    </row>
    <row r="120" spans="1:14" x14ac:dyDescent="0.2">
      <c r="A120" t="s">
        <v>293</v>
      </c>
      <c r="B120" t="s">
        <v>6</v>
      </c>
      <c r="C120" t="s">
        <v>7</v>
      </c>
      <c r="D120" s="1" t="s">
        <v>167</v>
      </c>
      <c r="E120" t="s">
        <v>169</v>
      </c>
      <c r="F120" t="s">
        <v>12</v>
      </c>
      <c r="G120">
        <v>47</v>
      </c>
      <c r="H120" t="str">
        <f>_xlfn.XLOOKUP($B120,Table24[Misname],Table24[Canonical],$B120)</f>
        <v>Stevens Point</v>
      </c>
      <c r="I120">
        <f>_xlfn.XLOOKUP($J120,Table4[ward_name],Table4[priority])</f>
        <v>32</v>
      </c>
      <c r="J120" t="str">
        <f t="shared" si="14"/>
        <v>Stevens Point - C - 0030</v>
      </c>
      <c r="K120" t="str">
        <f t="shared" si="15"/>
        <v>57880178-79644</v>
      </c>
      <c r="L120" t="str">
        <f t="shared" si="16"/>
        <v>Turf 02</v>
      </c>
      <c r="M120">
        <f t="shared" si="13"/>
        <v>47</v>
      </c>
      <c r="N120" t="str">
        <f t="shared" si="17"/>
        <v>Stevens Point - C - 0030 - Turf 02</v>
      </c>
    </row>
    <row r="121" spans="1:14" x14ac:dyDescent="0.2">
      <c r="A121" t="s">
        <v>294</v>
      </c>
      <c r="B121" t="s">
        <v>6</v>
      </c>
      <c r="C121" t="s">
        <v>7</v>
      </c>
      <c r="D121" s="1" t="s">
        <v>170</v>
      </c>
      <c r="E121" t="s">
        <v>171</v>
      </c>
      <c r="F121" t="s">
        <v>10</v>
      </c>
      <c r="G121">
        <v>47</v>
      </c>
      <c r="H121" t="str">
        <f>_xlfn.XLOOKUP($B121,Table24[Misname],Table24[Canonical],$B121)</f>
        <v>Stevens Point</v>
      </c>
      <c r="I121">
        <f>_xlfn.XLOOKUP($J121,Table4[ward_name],Table4[priority])</f>
        <v>28</v>
      </c>
      <c r="J121" t="str">
        <f t="shared" si="14"/>
        <v>Stevens Point - C - 0012</v>
      </c>
      <c r="K121" t="str">
        <f t="shared" si="15"/>
        <v>57880253-84880</v>
      </c>
      <c r="L121" t="str">
        <f t="shared" si="16"/>
        <v>Turf 01</v>
      </c>
      <c r="M121">
        <f t="shared" si="13"/>
        <v>47</v>
      </c>
      <c r="N121" t="str">
        <f t="shared" si="17"/>
        <v>Stevens Point - C - 0012 - Turf 01</v>
      </c>
    </row>
    <row r="122" spans="1:14" x14ac:dyDescent="0.2">
      <c r="A122" t="s">
        <v>294</v>
      </c>
      <c r="B122" t="s">
        <v>6</v>
      </c>
      <c r="C122" t="s">
        <v>7</v>
      </c>
      <c r="D122" s="1" t="s">
        <v>170</v>
      </c>
      <c r="E122" t="s">
        <v>172</v>
      </c>
      <c r="F122" t="s">
        <v>12</v>
      </c>
      <c r="G122">
        <v>44</v>
      </c>
      <c r="H122" t="str">
        <f>_xlfn.XLOOKUP($B122,Table24[Misname],Table24[Canonical],$B122)</f>
        <v>Stevens Point</v>
      </c>
      <c r="I122">
        <f>_xlfn.XLOOKUP($J122,Table4[ward_name],Table4[priority])</f>
        <v>28</v>
      </c>
      <c r="J122" t="str">
        <f t="shared" si="14"/>
        <v>Stevens Point - C - 0012</v>
      </c>
      <c r="K122" t="str">
        <f t="shared" si="15"/>
        <v>57880254-59464</v>
      </c>
      <c r="L122" t="str">
        <f t="shared" si="16"/>
        <v>Turf 02</v>
      </c>
      <c r="M122">
        <f t="shared" si="13"/>
        <v>44</v>
      </c>
      <c r="N122" t="str">
        <f t="shared" si="17"/>
        <v>Stevens Point - C - 0012 - Turf 02</v>
      </c>
    </row>
    <row r="123" spans="1:14" x14ac:dyDescent="0.2">
      <c r="A123" t="s">
        <v>294</v>
      </c>
      <c r="B123" t="s">
        <v>6</v>
      </c>
      <c r="C123" t="s">
        <v>7</v>
      </c>
      <c r="D123" s="1" t="s">
        <v>170</v>
      </c>
      <c r="E123" t="s">
        <v>173</v>
      </c>
      <c r="F123" t="s">
        <v>21</v>
      </c>
      <c r="G123">
        <v>31</v>
      </c>
      <c r="H123" t="str">
        <f>_xlfn.XLOOKUP($B123,Table24[Misname],Table24[Canonical],$B123)</f>
        <v>Stevens Point</v>
      </c>
      <c r="I123">
        <f>_xlfn.XLOOKUP($J123,Table4[ward_name],Table4[priority])</f>
        <v>28</v>
      </c>
      <c r="J123" t="str">
        <f t="shared" si="14"/>
        <v>Stevens Point - C - 0012</v>
      </c>
      <c r="K123" t="str">
        <f t="shared" si="15"/>
        <v>57880255-77031</v>
      </c>
      <c r="L123" t="str">
        <f t="shared" si="16"/>
        <v>Turf 03</v>
      </c>
      <c r="M123">
        <f t="shared" si="13"/>
        <v>31</v>
      </c>
      <c r="N123" t="str">
        <f t="shared" si="17"/>
        <v>Stevens Point - C - 0012 - Turf 03</v>
      </c>
    </row>
    <row r="124" spans="1:14" x14ac:dyDescent="0.2">
      <c r="A124" t="s">
        <v>295</v>
      </c>
      <c r="B124" t="s">
        <v>22</v>
      </c>
      <c r="C124" t="s">
        <v>16</v>
      </c>
      <c r="D124" s="1" t="s">
        <v>78</v>
      </c>
      <c r="E124" t="s">
        <v>174</v>
      </c>
      <c r="F124" t="s">
        <v>10</v>
      </c>
      <c r="G124">
        <v>29</v>
      </c>
      <c r="H124" t="str">
        <f>_xlfn.XLOOKUP($B124,Table24[Misname],Table24[Canonical],$B124)</f>
        <v>Plover</v>
      </c>
      <c r="I124">
        <f>_xlfn.XLOOKUP($J124,Table4[ward_name],Table4[priority])</f>
        <v>36</v>
      </c>
      <c r="J124" t="str">
        <f t="shared" si="14"/>
        <v>Plover - V - 0008</v>
      </c>
      <c r="K124" t="str">
        <f t="shared" si="15"/>
        <v>57880256-73994</v>
      </c>
      <c r="L124" t="str">
        <f t="shared" si="16"/>
        <v>Turf 01</v>
      </c>
      <c r="M124">
        <f t="shared" si="13"/>
        <v>29</v>
      </c>
      <c r="N124" t="str">
        <f t="shared" si="17"/>
        <v>Plover - V - 0008 - Turf 01</v>
      </c>
    </row>
    <row r="125" spans="1:14" x14ac:dyDescent="0.2">
      <c r="A125" t="s">
        <v>295</v>
      </c>
      <c r="B125" t="s">
        <v>22</v>
      </c>
      <c r="C125" t="s">
        <v>16</v>
      </c>
      <c r="D125" s="1" t="s">
        <v>78</v>
      </c>
      <c r="E125" t="s">
        <v>175</v>
      </c>
      <c r="F125" t="s">
        <v>12</v>
      </c>
      <c r="G125">
        <v>34</v>
      </c>
      <c r="H125" t="str">
        <f>_xlfn.XLOOKUP($B125,Table24[Misname],Table24[Canonical],$B125)</f>
        <v>Plover</v>
      </c>
      <c r="I125">
        <f>_xlfn.XLOOKUP($J125,Table4[ward_name],Table4[priority])</f>
        <v>36</v>
      </c>
      <c r="J125" t="str">
        <f t="shared" si="14"/>
        <v>Plover - V - 0008</v>
      </c>
      <c r="K125" t="str">
        <f t="shared" si="15"/>
        <v>57880257-91560</v>
      </c>
      <c r="L125" t="str">
        <f t="shared" si="16"/>
        <v>Turf 02</v>
      </c>
      <c r="M125">
        <f t="shared" si="13"/>
        <v>34</v>
      </c>
      <c r="N125" t="str">
        <f t="shared" si="17"/>
        <v>Plover - V - 0008 - Turf 02</v>
      </c>
    </row>
    <row r="126" spans="1:14" x14ac:dyDescent="0.2">
      <c r="A126" t="s">
        <v>295</v>
      </c>
      <c r="B126" t="s">
        <v>22</v>
      </c>
      <c r="C126" t="s">
        <v>16</v>
      </c>
      <c r="D126" s="1" t="s">
        <v>78</v>
      </c>
      <c r="E126" t="s">
        <v>176</v>
      </c>
      <c r="F126" t="s">
        <v>21</v>
      </c>
      <c r="G126">
        <v>30</v>
      </c>
      <c r="H126" t="str">
        <f>_xlfn.XLOOKUP($B126,Table24[Misname],Table24[Canonical],$B126)</f>
        <v>Plover</v>
      </c>
      <c r="I126">
        <f>_xlfn.XLOOKUP($J126,Table4[ward_name],Table4[priority])</f>
        <v>36</v>
      </c>
      <c r="J126" t="str">
        <f t="shared" si="14"/>
        <v>Plover - V - 0008</v>
      </c>
      <c r="K126" t="str">
        <f t="shared" si="15"/>
        <v>57880258-66145</v>
      </c>
      <c r="L126" t="str">
        <f t="shared" si="16"/>
        <v>Turf 03</v>
      </c>
      <c r="M126">
        <f t="shared" si="13"/>
        <v>30</v>
      </c>
      <c r="N126" t="str">
        <f t="shared" si="17"/>
        <v>Plover - V - 0008 - Turf 03</v>
      </c>
    </row>
    <row r="127" spans="1:14" x14ac:dyDescent="0.2">
      <c r="A127" t="s">
        <v>296</v>
      </c>
      <c r="B127" t="s">
        <v>6</v>
      </c>
      <c r="C127" t="s">
        <v>7</v>
      </c>
      <c r="D127" s="1" t="s">
        <v>88</v>
      </c>
      <c r="E127" t="s">
        <v>177</v>
      </c>
      <c r="F127" t="s">
        <v>10</v>
      </c>
      <c r="G127">
        <v>57</v>
      </c>
      <c r="H127" t="str">
        <f>_xlfn.XLOOKUP($B127,Table24[Misname],Table24[Canonical],$B127)</f>
        <v>Stevens Point</v>
      </c>
      <c r="I127">
        <f>_xlfn.XLOOKUP($J127,Table4[ward_name],Table4[priority])</f>
        <v>12</v>
      </c>
      <c r="J127" t="str">
        <f t="shared" si="14"/>
        <v>Stevens Point - C - 0006</v>
      </c>
      <c r="K127" t="str">
        <f t="shared" si="15"/>
        <v>57880312-90203</v>
      </c>
      <c r="L127" t="str">
        <f t="shared" si="16"/>
        <v>Turf 01</v>
      </c>
      <c r="M127">
        <f t="shared" si="13"/>
        <v>57</v>
      </c>
      <c r="N127" t="str">
        <f t="shared" si="17"/>
        <v>Stevens Point - C - 0006 - Turf 01</v>
      </c>
    </row>
    <row r="128" spans="1:14" x14ac:dyDescent="0.2">
      <c r="A128" t="s">
        <v>297</v>
      </c>
      <c r="B128" t="s">
        <v>22</v>
      </c>
      <c r="C128" t="s">
        <v>16</v>
      </c>
      <c r="D128" s="1" t="s">
        <v>157</v>
      </c>
      <c r="E128" t="s">
        <v>178</v>
      </c>
      <c r="F128" t="s">
        <v>10</v>
      </c>
      <c r="G128">
        <v>41</v>
      </c>
      <c r="H128" t="str">
        <f>_xlfn.XLOOKUP($B128,Table24[Misname],Table24[Canonical],$B128)</f>
        <v>Plover</v>
      </c>
      <c r="I128">
        <f>_xlfn.XLOOKUP($J128,Table4[ward_name],Table4[priority])</f>
        <v>40</v>
      </c>
      <c r="J128" t="str">
        <f t="shared" si="14"/>
        <v>Plover - V - 0005</v>
      </c>
      <c r="K128" t="str">
        <f t="shared" si="15"/>
        <v>57880201-74752</v>
      </c>
      <c r="L128" t="str">
        <f t="shared" si="16"/>
        <v>Turf 01</v>
      </c>
      <c r="M128">
        <f t="shared" si="13"/>
        <v>41</v>
      </c>
      <c r="N128" t="str">
        <f t="shared" si="17"/>
        <v>Plover - V - 0005 - Turf 01</v>
      </c>
    </row>
    <row r="129" spans="1:14" x14ac:dyDescent="0.2">
      <c r="A129" t="s">
        <v>297</v>
      </c>
      <c r="B129" t="s">
        <v>22</v>
      </c>
      <c r="C129" t="s">
        <v>16</v>
      </c>
      <c r="D129" s="1" t="s">
        <v>157</v>
      </c>
      <c r="E129" t="s">
        <v>179</v>
      </c>
      <c r="F129" t="s">
        <v>12</v>
      </c>
      <c r="G129">
        <v>35</v>
      </c>
      <c r="H129" t="str">
        <f>_xlfn.XLOOKUP($B129,Table24[Misname],Table24[Canonical],$B129)</f>
        <v>Plover</v>
      </c>
      <c r="I129">
        <f>_xlfn.XLOOKUP($J129,Table4[ward_name],Table4[priority])</f>
        <v>40</v>
      </c>
      <c r="J129" t="str">
        <f t="shared" si="14"/>
        <v>Plover - V - 0005</v>
      </c>
      <c r="K129" t="str">
        <f t="shared" si="15"/>
        <v>57880202-92318</v>
      </c>
      <c r="L129" t="str">
        <f t="shared" si="16"/>
        <v>Turf 02</v>
      </c>
      <c r="M129">
        <f t="shared" si="13"/>
        <v>35</v>
      </c>
      <c r="N129" t="str">
        <f t="shared" si="17"/>
        <v>Plover - V - 0005 - Turf 02</v>
      </c>
    </row>
    <row r="130" spans="1:14" x14ac:dyDescent="0.2">
      <c r="A130" t="s">
        <v>297</v>
      </c>
      <c r="B130" t="s">
        <v>22</v>
      </c>
      <c r="C130" t="s">
        <v>16</v>
      </c>
      <c r="D130" s="1" t="s">
        <v>157</v>
      </c>
      <c r="E130" t="s">
        <v>180</v>
      </c>
      <c r="F130" t="s">
        <v>21</v>
      </c>
      <c r="G130">
        <v>53</v>
      </c>
      <c r="H130" t="str">
        <f>_xlfn.XLOOKUP($B130,Table24[Misname],Table24[Canonical],$B130)</f>
        <v>Plover</v>
      </c>
      <c r="I130">
        <f>_xlfn.XLOOKUP($J130,Table4[ward_name],Table4[priority])</f>
        <v>40</v>
      </c>
      <c r="J130" t="str">
        <f t="shared" si="14"/>
        <v>Plover - V - 0005</v>
      </c>
      <c r="K130" t="str">
        <f t="shared" si="15"/>
        <v>57880203-52177</v>
      </c>
      <c r="L130" t="str">
        <f t="shared" si="16"/>
        <v>Turf 03</v>
      </c>
      <c r="M130">
        <f t="shared" si="13"/>
        <v>53</v>
      </c>
      <c r="N130" t="str">
        <f t="shared" si="17"/>
        <v>Plover - V - 0005 - Turf 03</v>
      </c>
    </row>
    <row r="131" spans="1:14" x14ac:dyDescent="0.2">
      <c r="A131" t="s">
        <v>297</v>
      </c>
      <c r="B131" t="s">
        <v>22</v>
      </c>
      <c r="C131" t="s">
        <v>16</v>
      </c>
      <c r="D131" s="1" t="s">
        <v>157</v>
      </c>
      <c r="E131" t="s">
        <v>181</v>
      </c>
      <c r="F131" t="s">
        <v>14</v>
      </c>
      <c r="G131">
        <v>54</v>
      </c>
      <c r="H131" t="str">
        <f>_xlfn.XLOOKUP($B131,Table24[Misname],Table24[Canonical],$B131)</f>
        <v>Plover</v>
      </c>
      <c r="I131">
        <f>_xlfn.XLOOKUP($J131,Table4[ward_name],Table4[priority])</f>
        <v>40</v>
      </c>
      <c r="J131" t="str">
        <f t="shared" ref="J131:J139" si="18">$H131&amp;" - "&amp;$C131&amp;" - "&amp;$D131</f>
        <v>Plover - V - 0005</v>
      </c>
      <c r="K131" t="str">
        <f t="shared" ref="K131:K139" si="19">$E131</f>
        <v>57880204-12036</v>
      </c>
      <c r="L131" t="str">
        <f t="shared" ref="L131:L139" si="20">$F131</f>
        <v>Turf 04</v>
      </c>
      <c r="M131">
        <f t="shared" si="13"/>
        <v>54</v>
      </c>
      <c r="N131" t="str">
        <f t="shared" ref="N131:N139" si="21">$J131&amp;" - "&amp;$L131</f>
        <v>Plover - V - 0005 - Turf 04</v>
      </c>
    </row>
    <row r="132" spans="1:14" x14ac:dyDescent="0.2">
      <c r="A132" t="s">
        <v>298</v>
      </c>
      <c r="B132" t="s">
        <v>6</v>
      </c>
      <c r="C132" t="s">
        <v>7</v>
      </c>
      <c r="D132" s="1" t="s">
        <v>182</v>
      </c>
      <c r="E132" t="s">
        <v>183</v>
      </c>
      <c r="F132" t="s">
        <v>10</v>
      </c>
      <c r="G132">
        <v>44</v>
      </c>
      <c r="H132" t="str">
        <f>_xlfn.XLOOKUP($B132,Table24[Misname],Table24[Canonical],$B132)</f>
        <v>Stevens Point</v>
      </c>
      <c r="I132">
        <f>_xlfn.XLOOKUP($J132,Table4[ward_name],Table4[priority])</f>
        <v>2</v>
      </c>
      <c r="J132" t="str">
        <f t="shared" si="18"/>
        <v>Stevens Point - C - 0013</v>
      </c>
      <c r="K132" t="str">
        <f t="shared" si="19"/>
        <v>57880048-53199</v>
      </c>
      <c r="L132" t="str">
        <f t="shared" si="20"/>
        <v>Turf 01</v>
      </c>
      <c r="M132">
        <f t="shared" ref="M132:M136" si="22">$G132</f>
        <v>44</v>
      </c>
      <c r="N132" t="str">
        <f t="shared" si="21"/>
        <v>Stevens Point - C - 0013 - Turf 01</v>
      </c>
    </row>
    <row r="133" spans="1:14" x14ac:dyDescent="0.2">
      <c r="A133" t="s">
        <v>298</v>
      </c>
      <c r="B133" t="s">
        <v>6</v>
      </c>
      <c r="C133" t="s">
        <v>7</v>
      </c>
      <c r="D133" s="1" t="s">
        <v>182</v>
      </c>
      <c r="E133" t="s">
        <v>184</v>
      </c>
      <c r="F133" t="s">
        <v>12</v>
      </c>
      <c r="G133">
        <v>42</v>
      </c>
      <c r="H133" t="str">
        <f>_xlfn.XLOOKUP($B133,Table24[Misname],Table24[Canonical],$B133)</f>
        <v>Stevens Point</v>
      </c>
      <c r="I133">
        <f>_xlfn.XLOOKUP($J133,Table4[ward_name],Table4[priority])</f>
        <v>2</v>
      </c>
      <c r="J133" t="str">
        <f t="shared" si="18"/>
        <v>Stevens Point - C - 0013</v>
      </c>
      <c r="K133" t="str">
        <f t="shared" si="19"/>
        <v>57880049-13058</v>
      </c>
      <c r="L133" t="str">
        <f t="shared" si="20"/>
        <v>Turf 02</v>
      </c>
      <c r="M133">
        <f t="shared" si="22"/>
        <v>42</v>
      </c>
      <c r="N133" t="str">
        <f t="shared" si="21"/>
        <v>Stevens Point - C - 0013 - Turf 02</v>
      </c>
    </row>
    <row r="134" spans="1:14" x14ac:dyDescent="0.2">
      <c r="A134" t="s">
        <v>299</v>
      </c>
      <c r="B134" t="s">
        <v>22</v>
      </c>
      <c r="C134" t="s">
        <v>16</v>
      </c>
      <c r="D134" s="1" t="s">
        <v>43</v>
      </c>
      <c r="E134" t="s">
        <v>185</v>
      </c>
      <c r="F134" t="s">
        <v>10</v>
      </c>
      <c r="G134">
        <v>11</v>
      </c>
      <c r="H134" t="str">
        <f>_xlfn.XLOOKUP($B134,Table24[Misname],Table24[Canonical],$B134)</f>
        <v>Plover</v>
      </c>
      <c r="I134">
        <f>_xlfn.XLOOKUP($J134,Table4[ward_name],Table4[priority])</f>
        <v>47</v>
      </c>
      <c r="J134" t="str">
        <f t="shared" si="18"/>
        <v>Plover - V - 0002</v>
      </c>
      <c r="K134" t="str">
        <f t="shared" si="19"/>
        <v>57880080-15426</v>
      </c>
      <c r="L134" t="str">
        <f t="shared" si="20"/>
        <v>Turf 01</v>
      </c>
      <c r="M134">
        <f t="shared" si="22"/>
        <v>11</v>
      </c>
      <c r="N134" t="str">
        <f t="shared" si="21"/>
        <v>Plover - V - 0002 - Turf 01</v>
      </c>
    </row>
    <row r="135" spans="1:14" x14ac:dyDescent="0.2">
      <c r="A135" t="s">
        <v>299</v>
      </c>
      <c r="B135" t="s">
        <v>22</v>
      </c>
      <c r="C135" t="s">
        <v>16</v>
      </c>
      <c r="D135" s="1" t="s">
        <v>43</v>
      </c>
      <c r="E135" t="s">
        <v>186</v>
      </c>
      <c r="F135" t="s">
        <v>12</v>
      </c>
      <c r="G135">
        <v>45</v>
      </c>
      <c r="H135" t="str">
        <f>_xlfn.XLOOKUP($B135,Table24[Misname],Table24[Canonical],$B135)</f>
        <v>Plover</v>
      </c>
      <c r="I135">
        <f>_xlfn.XLOOKUP($J135,Table4[ward_name],Table4[priority])</f>
        <v>47</v>
      </c>
      <c r="J135" t="str">
        <f t="shared" si="18"/>
        <v>Plover - V - 0002</v>
      </c>
      <c r="K135" t="str">
        <f t="shared" si="19"/>
        <v>57880081-32993</v>
      </c>
      <c r="L135" t="str">
        <f t="shared" si="20"/>
        <v>Turf 02</v>
      </c>
      <c r="M135">
        <f t="shared" si="22"/>
        <v>45</v>
      </c>
      <c r="N135" t="str">
        <f t="shared" si="21"/>
        <v>Plover - V - 0002 - Turf 02</v>
      </c>
    </row>
    <row r="136" spans="1:14" x14ac:dyDescent="0.2">
      <c r="A136" t="s">
        <v>299</v>
      </c>
      <c r="B136" t="s">
        <v>22</v>
      </c>
      <c r="C136" t="s">
        <v>16</v>
      </c>
      <c r="D136" s="1" t="s">
        <v>43</v>
      </c>
      <c r="E136" t="s">
        <v>187</v>
      </c>
      <c r="F136" t="s">
        <v>21</v>
      </c>
      <c r="G136">
        <v>21</v>
      </c>
      <c r="H136" t="str">
        <f>_xlfn.XLOOKUP($B136,Table24[Misname],Table24[Canonical],$B136)</f>
        <v>Plover</v>
      </c>
      <c r="I136">
        <f>_xlfn.XLOOKUP($J136,Table4[ward_name],Table4[priority])</f>
        <v>47</v>
      </c>
      <c r="J136" t="str">
        <f t="shared" si="18"/>
        <v>Plover - V - 0002</v>
      </c>
      <c r="K136" t="str">
        <f t="shared" si="19"/>
        <v>57880082-50560</v>
      </c>
      <c r="L136" t="str">
        <f t="shared" si="20"/>
        <v>Turf 03</v>
      </c>
      <c r="M136">
        <f t="shared" si="22"/>
        <v>21</v>
      </c>
      <c r="N136" t="str">
        <f t="shared" si="21"/>
        <v>Plover - V - 0002 - Turf 03</v>
      </c>
    </row>
    <row r="137" spans="1:14" x14ac:dyDescent="0.2">
      <c r="A137" t="s">
        <v>299</v>
      </c>
      <c r="B137" t="s">
        <v>22</v>
      </c>
      <c r="C137" t="s">
        <v>16</v>
      </c>
      <c r="D137" s="1" t="s">
        <v>43</v>
      </c>
      <c r="E137" t="s">
        <v>185</v>
      </c>
      <c r="F137" t="s">
        <v>10</v>
      </c>
      <c r="G137">
        <v>11</v>
      </c>
      <c r="H137" t="str">
        <f>_xlfn.XLOOKUP($B137,Table24[Misname],Table24[Canonical],$B137)</f>
        <v>Plover</v>
      </c>
      <c r="I137">
        <f>_xlfn.XLOOKUP($J137,Table4[ward_name],Table4[priority])</f>
        <v>47</v>
      </c>
      <c r="J137" t="str">
        <f t="shared" si="18"/>
        <v>Plover - V - 0002</v>
      </c>
      <c r="K137" t="str">
        <f t="shared" si="19"/>
        <v>57880080-15426</v>
      </c>
      <c r="L137" t="str">
        <f t="shared" si="20"/>
        <v>Turf 01</v>
      </c>
      <c r="M137">
        <f t="shared" ref="M137:M139" si="23">$G137</f>
        <v>11</v>
      </c>
      <c r="N137" t="str">
        <f t="shared" si="21"/>
        <v>Plover - V - 0002 - Turf 01</v>
      </c>
    </row>
    <row r="138" spans="1:14" x14ac:dyDescent="0.2">
      <c r="A138" t="s">
        <v>299</v>
      </c>
      <c r="B138" t="s">
        <v>22</v>
      </c>
      <c r="C138" t="s">
        <v>16</v>
      </c>
      <c r="D138" s="1" t="s">
        <v>43</v>
      </c>
      <c r="E138" t="s">
        <v>186</v>
      </c>
      <c r="F138" t="s">
        <v>12</v>
      </c>
      <c r="G138">
        <v>45</v>
      </c>
      <c r="H138" t="str">
        <f>_xlfn.XLOOKUP($B138,Table24[Misname],Table24[Canonical],$B138)</f>
        <v>Plover</v>
      </c>
      <c r="I138">
        <f>_xlfn.XLOOKUP($J138,Table4[ward_name],Table4[priority])</f>
        <v>47</v>
      </c>
      <c r="J138" t="str">
        <f t="shared" si="18"/>
        <v>Plover - V - 0002</v>
      </c>
      <c r="K138" t="str">
        <f t="shared" si="19"/>
        <v>57880081-32993</v>
      </c>
      <c r="L138" t="str">
        <f t="shared" si="20"/>
        <v>Turf 02</v>
      </c>
      <c r="M138">
        <f t="shared" si="23"/>
        <v>45</v>
      </c>
      <c r="N138" t="str">
        <f t="shared" si="21"/>
        <v>Plover - V - 0002 - Turf 02</v>
      </c>
    </row>
    <row r="139" spans="1:14" x14ac:dyDescent="0.2">
      <c r="A139" t="s">
        <v>299</v>
      </c>
      <c r="B139" t="s">
        <v>22</v>
      </c>
      <c r="C139" t="s">
        <v>16</v>
      </c>
      <c r="D139" s="1" t="s">
        <v>43</v>
      </c>
      <c r="E139" t="s">
        <v>187</v>
      </c>
      <c r="F139" t="s">
        <v>21</v>
      </c>
      <c r="G139">
        <v>21</v>
      </c>
      <c r="H139" t="str">
        <f>_xlfn.XLOOKUP($B139,Table24[Misname],Table24[Canonical],$B139)</f>
        <v>Plover</v>
      </c>
      <c r="I139">
        <f>_xlfn.XLOOKUP($J139,Table4[ward_name],Table4[priority])</f>
        <v>47</v>
      </c>
      <c r="J139" t="str">
        <f t="shared" si="18"/>
        <v>Plover - V - 0002</v>
      </c>
      <c r="K139" t="str">
        <f t="shared" si="19"/>
        <v>57880082-50560</v>
      </c>
      <c r="L139" t="str">
        <f t="shared" si="20"/>
        <v>Turf 03</v>
      </c>
      <c r="M139">
        <f t="shared" si="23"/>
        <v>21</v>
      </c>
      <c r="N139" t="str">
        <f t="shared" si="21"/>
        <v>Plover - V - 0002 - Turf 03</v>
      </c>
    </row>
  </sheetData>
  <conditionalFormatting sqref="N3:N139">
    <cfRule type="duplicateValues" dxfId="1" priority="1"/>
  </conditionalFormatting>
  <pageMargins left="0.7" right="0.7" top="0.75" bottom="0.75" header="0.3" footer="0.3"/>
  <pageSetup orientation="portrait" horizontalDpi="0" verticalDpi="0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A522D-F8FD-9A4B-B764-BDE6ABBC83FD}">
  <dimension ref="A1:C52"/>
  <sheetViews>
    <sheetView workbookViewId="0">
      <selection activeCell="C3" sqref="C3"/>
    </sheetView>
  </sheetViews>
  <sheetFormatPr baseColWidth="10" defaultRowHeight="16" x14ac:dyDescent="0.2"/>
  <cols>
    <col min="2" max="2" width="18.83203125" bestFit="1" customWidth="1"/>
  </cols>
  <sheetData>
    <row r="1" spans="1:3" x14ac:dyDescent="0.2">
      <c r="A1" s="5" t="s">
        <v>247</v>
      </c>
      <c r="B1" s="6" t="s">
        <v>246</v>
      </c>
      <c r="C1" t="s">
        <v>245</v>
      </c>
    </row>
    <row r="2" spans="1:3" x14ac:dyDescent="0.2">
      <c r="A2" s="4">
        <v>1</v>
      </c>
      <c r="B2" s="3" t="s">
        <v>194</v>
      </c>
      <c r="C2">
        <f>COUNTIF(Table7[ward_from_turf],$B2)</f>
        <v>2</v>
      </c>
    </row>
    <row r="3" spans="1:3" x14ac:dyDescent="0.2">
      <c r="A3" s="4">
        <v>2</v>
      </c>
      <c r="B3" s="3" t="s">
        <v>195</v>
      </c>
      <c r="C3">
        <f>COUNTIF(Table7[ward_from_turf],$B3)</f>
        <v>2</v>
      </c>
    </row>
    <row r="4" spans="1:3" x14ac:dyDescent="0.2">
      <c r="A4" s="4">
        <v>3</v>
      </c>
      <c r="B4" s="3" t="s">
        <v>196</v>
      </c>
      <c r="C4">
        <f>COUNTIF(Table7[ward_from_turf],$B4)</f>
        <v>2</v>
      </c>
    </row>
    <row r="5" spans="1:3" x14ac:dyDescent="0.2">
      <c r="A5" s="4">
        <v>4</v>
      </c>
      <c r="B5" s="3" t="s">
        <v>197</v>
      </c>
      <c r="C5">
        <f>COUNTIF(Table7[ward_from_turf],$B5)</f>
        <v>3</v>
      </c>
    </row>
    <row r="6" spans="1:3" x14ac:dyDescent="0.2">
      <c r="A6" s="4">
        <v>5</v>
      </c>
      <c r="B6" s="3" t="s">
        <v>198</v>
      </c>
      <c r="C6">
        <f>COUNTIF(Table7[ward_from_turf],$B6)</f>
        <v>3</v>
      </c>
    </row>
    <row r="7" spans="1:3" x14ac:dyDescent="0.2">
      <c r="A7" s="4">
        <v>6</v>
      </c>
      <c r="B7" s="3" t="s">
        <v>199</v>
      </c>
      <c r="C7">
        <f>COUNTIF(Table7[ward_from_turf],$B7)</f>
        <v>3</v>
      </c>
    </row>
    <row r="8" spans="1:3" x14ac:dyDescent="0.2">
      <c r="A8" s="4">
        <v>7</v>
      </c>
      <c r="B8" s="3" t="s">
        <v>200</v>
      </c>
      <c r="C8">
        <f>COUNTIF(Table7[ward_from_turf],$B8)</f>
        <v>4</v>
      </c>
    </row>
    <row r="9" spans="1:3" x14ac:dyDescent="0.2">
      <c r="A9" s="4">
        <v>8</v>
      </c>
      <c r="B9" s="3" t="s">
        <v>201</v>
      </c>
      <c r="C9">
        <f>COUNTIF(Table7[ward_from_turf],$B9)</f>
        <v>2</v>
      </c>
    </row>
    <row r="10" spans="1:3" x14ac:dyDescent="0.2">
      <c r="A10" s="4">
        <v>9</v>
      </c>
      <c r="B10" s="3" t="s">
        <v>202</v>
      </c>
      <c r="C10">
        <f>COUNTIF(Table7[ward_from_turf],$B10)</f>
        <v>4</v>
      </c>
    </row>
    <row r="11" spans="1:3" x14ac:dyDescent="0.2">
      <c r="A11" s="4">
        <v>10</v>
      </c>
      <c r="B11" s="3" t="s">
        <v>203</v>
      </c>
      <c r="C11">
        <f>COUNTIF(Table7[ward_from_turf],$B11)</f>
        <v>1</v>
      </c>
    </row>
    <row r="12" spans="1:3" x14ac:dyDescent="0.2">
      <c r="A12" s="4">
        <v>11</v>
      </c>
      <c r="B12" s="3" t="s">
        <v>204</v>
      </c>
      <c r="C12">
        <f>COUNTIF(Table7[ward_from_turf],$B12)</f>
        <v>2</v>
      </c>
    </row>
    <row r="13" spans="1:3" x14ac:dyDescent="0.2">
      <c r="A13" s="4">
        <v>12</v>
      </c>
      <c r="B13" s="3" t="s">
        <v>205</v>
      </c>
      <c r="C13">
        <f>COUNTIF(Table7[ward_from_turf],$B13)</f>
        <v>1</v>
      </c>
    </row>
    <row r="14" spans="1:3" x14ac:dyDescent="0.2">
      <c r="A14" s="4">
        <v>13</v>
      </c>
      <c r="B14" s="3" t="s">
        <v>206</v>
      </c>
      <c r="C14">
        <f>COUNTIF(Table7[ward_from_turf],$B14)</f>
        <v>1</v>
      </c>
    </row>
    <row r="15" spans="1:3" x14ac:dyDescent="0.2">
      <c r="A15" s="4">
        <v>14</v>
      </c>
      <c r="B15" s="3" t="s">
        <v>207</v>
      </c>
      <c r="C15">
        <f>COUNTIF(Table7[ward_from_turf],$B15)</f>
        <v>3</v>
      </c>
    </row>
    <row r="16" spans="1:3" x14ac:dyDescent="0.2">
      <c r="A16" s="4">
        <v>15</v>
      </c>
      <c r="B16" s="3" t="s">
        <v>208</v>
      </c>
      <c r="C16">
        <f>COUNTIF(Table7[ward_from_turf],$B16)</f>
        <v>2</v>
      </c>
    </row>
    <row r="17" spans="1:3" x14ac:dyDescent="0.2">
      <c r="A17" s="4">
        <v>16</v>
      </c>
      <c r="B17" s="3" t="s">
        <v>209</v>
      </c>
      <c r="C17">
        <f>COUNTIF(Table7[ward_from_turf],$B17)</f>
        <v>2</v>
      </c>
    </row>
    <row r="18" spans="1:3" x14ac:dyDescent="0.2">
      <c r="A18" s="4">
        <v>17</v>
      </c>
      <c r="B18" s="3" t="s">
        <v>210</v>
      </c>
      <c r="C18">
        <f>COUNTIF(Table7[ward_from_turf],$B18)</f>
        <v>1</v>
      </c>
    </row>
    <row r="19" spans="1:3" x14ac:dyDescent="0.2">
      <c r="A19" s="4">
        <v>18</v>
      </c>
      <c r="B19" s="3" t="s">
        <v>211</v>
      </c>
      <c r="C19">
        <f>COUNTIF(Table7[ward_from_turf],$B19)</f>
        <v>1</v>
      </c>
    </row>
    <row r="20" spans="1:3" x14ac:dyDescent="0.2">
      <c r="A20" s="4">
        <v>19</v>
      </c>
      <c r="B20" s="3" t="s">
        <v>212</v>
      </c>
      <c r="C20">
        <f>COUNTIF(Table7[ward_from_turf],$B20)</f>
        <v>3</v>
      </c>
    </row>
    <row r="21" spans="1:3" x14ac:dyDescent="0.2">
      <c r="A21" s="4">
        <v>20</v>
      </c>
      <c r="B21" s="3" t="s">
        <v>213</v>
      </c>
      <c r="C21">
        <f>COUNTIF(Table7[ward_from_turf],$B21)</f>
        <v>3</v>
      </c>
    </row>
    <row r="22" spans="1:3" x14ac:dyDescent="0.2">
      <c r="A22" s="4">
        <v>21</v>
      </c>
      <c r="B22" s="3" t="s">
        <v>214</v>
      </c>
      <c r="C22">
        <f>COUNTIF(Table7[ward_from_turf],$B22)</f>
        <v>3</v>
      </c>
    </row>
    <row r="23" spans="1:3" x14ac:dyDescent="0.2">
      <c r="A23" s="4">
        <v>22</v>
      </c>
      <c r="B23" s="3" t="s">
        <v>215</v>
      </c>
      <c r="C23">
        <f>COUNTIF(Table7[ward_from_turf],$B23)</f>
        <v>3</v>
      </c>
    </row>
    <row r="24" spans="1:3" x14ac:dyDescent="0.2">
      <c r="A24" s="4">
        <v>23</v>
      </c>
      <c r="B24" s="3" t="s">
        <v>216</v>
      </c>
      <c r="C24">
        <f>COUNTIF(Table7[ward_from_turf],$B24)</f>
        <v>4</v>
      </c>
    </row>
    <row r="25" spans="1:3" x14ac:dyDescent="0.2">
      <c r="A25" s="4">
        <v>24</v>
      </c>
      <c r="B25" s="3" t="s">
        <v>217</v>
      </c>
      <c r="C25">
        <f>COUNTIF(Table7[ward_from_turf],$B25)</f>
        <v>2</v>
      </c>
    </row>
    <row r="26" spans="1:3" x14ac:dyDescent="0.2">
      <c r="A26" s="4">
        <v>25</v>
      </c>
      <c r="B26" s="3" t="s">
        <v>218</v>
      </c>
      <c r="C26">
        <f>COUNTIF(Table7[ward_from_turf],$B26)</f>
        <v>4</v>
      </c>
    </row>
    <row r="27" spans="1:3" x14ac:dyDescent="0.2">
      <c r="A27" s="4">
        <v>26</v>
      </c>
      <c r="B27" s="3" t="s">
        <v>219</v>
      </c>
      <c r="C27">
        <f>COUNTIF(Table7[ward_from_turf],$B27)</f>
        <v>4</v>
      </c>
    </row>
    <row r="28" spans="1:3" x14ac:dyDescent="0.2">
      <c r="A28" s="4">
        <v>27</v>
      </c>
      <c r="B28" s="3" t="s">
        <v>220</v>
      </c>
      <c r="C28">
        <f>COUNTIF(Table7[ward_from_turf],$B28)</f>
        <v>1</v>
      </c>
    </row>
    <row r="29" spans="1:3" x14ac:dyDescent="0.2">
      <c r="A29" s="4">
        <v>28</v>
      </c>
      <c r="B29" s="3" t="s">
        <v>221</v>
      </c>
      <c r="C29">
        <f>COUNTIF(Table7[ward_from_turf],$B29)</f>
        <v>3</v>
      </c>
    </row>
    <row r="30" spans="1:3" x14ac:dyDescent="0.2">
      <c r="A30" s="4">
        <v>29</v>
      </c>
      <c r="B30" s="3" t="s">
        <v>222</v>
      </c>
      <c r="C30">
        <f>COUNTIF(Table7[ward_from_turf],$B30)</f>
        <v>3</v>
      </c>
    </row>
    <row r="31" spans="1:3" x14ac:dyDescent="0.2">
      <c r="A31" s="4">
        <v>30</v>
      </c>
      <c r="B31" s="3" t="s">
        <v>223</v>
      </c>
      <c r="C31">
        <f>COUNTIF(Table7[ward_from_turf],$B31)</f>
        <v>4</v>
      </c>
    </row>
    <row r="32" spans="1:3" x14ac:dyDescent="0.2">
      <c r="A32" s="4">
        <v>31</v>
      </c>
      <c r="B32" s="3" t="s">
        <v>224</v>
      </c>
      <c r="C32">
        <f>COUNTIF(Table7[ward_from_turf],$B32)</f>
        <v>3</v>
      </c>
    </row>
    <row r="33" spans="1:3" x14ac:dyDescent="0.2">
      <c r="A33" s="4">
        <v>32</v>
      </c>
      <c r="B33" s="3" t="s">
        <v>225</v>
      </c>
      <c r="C33">
        <f>COUNTIF(Table7[ward_from_turf],$B33)</f>
        <v>2</v>
      </c>
    </row>
    <row r="34" spans="1:3" x14ac:dyDescent="0.2">
      <c r="A34" s="4">
        <v>33</v>
      </c>
      <c r="B34" s="3" t="s">
        <v>226</v>
      </c>
      <c r="C34">
        <f>COUNTIF(Table7[ward_from_turf],$B34)</f>
        <v>3</v>
      </c>
    </row>
    <row r="35" spans="1:3" x14ac:dyDescent="0.2">
      <c r="A35" s="4">
        <v>34</v>
      </c>
      <c r="B35" s="3" t="s">
        <v>227</v>
      </c>
      <c r="C35">
        <f>COUNTIF(Table7[ward_from_turf],$B35)</f>
        <v>3</v>
      </c>
    </row>
    <row r="36" spans="1:3" x14ac:dyDescent="0.2">
      <c r="A36" s="4">
        <v>35</v>
      </c>
      <c r="B36" s="3" t="s">
        <v>228</v>
      </c>
      <c r="C36">
        <f>COUNTIF(Table7[ward_from_turf],$B36)</f>
        <v>3</v>
      </c>
    </row>
    <row r="37" spans="1:3" x14ac:dyDescent="0.2">
      <c r="A37" s="4">
        <v>36</v>
      </c>
      <c r="B37" s="3" t="s">
        <v>229</v>
      </c>
      <c r="C37">
        <f>COUNTIF(Table7[ward_from_turf],$B37)</f>
        <v>3</v>
      </c>
    </row>
    <row r="38" spans="1:3" x14ac:dyDescent="0.2">
      <c r="A38" s="4">
        <v>37</v>
      </c>
      <c r="B38" s="3" t="s">
        <v>230</v>
      </c>
      <c r="C38">
        <f>COUNTIF(Table7[ward_from_turf],$B38)</f>
        <v>0</v>
      </c>
    </row>
    <row r="39" spans="1:3" x14ac:dyDescent="0.2">
      <c r="A39" s="4">
        <v>38</v>
      </c>
      <c r="B39" s="3" t="s">
        <v>231</v>
      </c>
      <c r="C39">
        <f>COUNTIF(Table7[ward_from_turf],$B39)</f>
        <v>0</v>
      </c>
    </row>
    <row r="40" spans="1:3" x14ac:dyDescent="0.2">
      <c r="A40" s="4">
        <v>39</v>
      </c>
      <c r="B40" s="3" t="s">
        <v>232</v>
      </c>
      <c r="C40">
        <f>COUNTIF(Table7[ward_from_turf],$B40)</f>
        <v>0</v>
      </c>
    </row>
    <row r="41" spans="1:3" x14ac:dyDescent="0.2">
      <c r="A41" s="4">
        <v>40</v>
      </c>
      <c r="B41" s="3" t="s">
        <v>233</v>
      </c>
      <c r="C41">
        <f>COUNTIF(Table7[ward_from_turf],$B41)</f>
        <v>4</v>
      </c>
    </row>
    <row r="42" spans="1:3" x14ac:dyDescent="0.2">
      <c r="A42" s="4">
        <v>41</v>
      </c>
      <c r="B42" s="3" t="s">
        <v>234</v>
      </c>
      <c r="C42">
        <f>COUNTIF(Table7[ward_from_turf],$B42)</f>
        <v>4</v>
      </c>
    </row>
    <row r="43" spans="1:3" x14ac:dyDescent="0.2">
      <c r="A43" s="4">
        <v>42</v>
      </c>
      <c r="B43" s="3" t="s">
        <v>235</v>
      </c>
      <c r="C43">
        <f>COUNTIF(Table7[ward_from_turf],$B43)</f>
        <v>2</v>
      </c>
    </row>
    <row r="44" spans="1:3" x14ac:dyDescent="0.2">
      <c r="A44" s="4">
        <v>43</v>
      </c>
      <c r="B44" s="3" t="s">
        <v>236</v>
      </c>
      <c r="C44">
        <f>COUNTIF(Table7[ward_from_turf],$B44)</f>
        <v>2</v>
      </c>
    </row>
    <row r="45" spans="1:3" x14ac:dyDescent="0.2">
      <c r="A45" s="4">
        <v>44</v>
      </c>
      <c r="B45" s="3" t="s">
        <v>237</v>
      </c>
      <c r="C45">
        <f>COUNTIF(Table7[ward_from_turf],$B45)</f>
        <v>3</v>
      </c>
    </row>
    <row r="46" spans="1:3" x14ac:dyDescent="0.2">
      <c r="A46" s="4">
        <v>45</v>
      </c>
      <c r="B46" s="3" t="s">
        <v>238</v>
      </c>
      <c r="C46">
        <f>COUNTIF(Table7[ward_from_turf],$B46)</f>
        <v>2</v>
      </c>
    </row>
    <row r="47" spans="1:3" x14ac:dyDescent="0.2">
      <c r="A47" s="4">
        <v>46</v>
      </c>
      <c r="B47" s="3" t="s">
        <v>239</v>
      </c>
      <c r="C47">
        <f>COUNTIF(Table7[ward_from_turf],$B47)</f>
        <v>4</v>
      </c>
    </row>
    <row r="48" spans="1:3" x14ac:dyDescent="0.2">
      <c r="A48" s="4">
        <v>47</v>
      </c>
      <c r="B48" s="3" t="s">
        <v>240</v>
      </c>
      <c r="C48">
        <f>COUNTIF(Table7[ward_from_turf],$B48)</f>
        <v>6</v>
      </c>
    </row>
    <row r="49" spans="1:3" x14ac:dyDescent="0.2">
      <c r="A49" s="4">
        <v>48</v>
      </c>
      <c r="B49" s="3" t="s">
        <v>241</v>
      </c>
      <c r="C49">
        <f>COUNTIF(Table7[ward_from_turf],$B49)</f>
        <v>2</v>
      </c>
    </row>
    <row r="50" spans="1:3" x14ac:dyDescent="0.2">
      <c r="A50" s="4">
        <v>49</v>
      </c>
      <c r="B50" s="3" t="s">
        <v>242</v>
      </c>
      <c r="C50">
        <f>COUNTIF(Table7[ward_from_turf],$B50)</f>
        <v>2</v>
      </c>
    </row>
    <row r="51" spans="1:3" x14ac:dyDescent="0.2">
      <c r="A51" s="4">
        <v>50</v>
      </c>
      <c r="B51" s="3" t="s">
        <v>243</v>
      </c>
      <c r="C51">
        <f>COUNTIF(Table7[ward_from_turf],$B51)</f>
        <v>1</v>
      </c>
    </row>
    <row r="52" spans="1:3" x14ac:dyDescent="0.2">
      <c r="A52" s="4">
        <v>51</v>
      </c>
      <c r="B52" s="3" t="s">
        <v>244</v>
      </c>
      <c r="C52">
        <f>COUNTIF(Table7[ward_from_turf],$B52)</f>
        <v>5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4E58-46A8-FA47-9493-8F221212BA5D}">
  <dimension ref="A1:B4"/>
  <sheetViews>
    <sheetView workbookViewId="0">
      <selection activeCell="A2" sqref="A2"/>
    </sheetView>
  </sheetViews>
  <sheetFormatPr baseColWidth="10" defaultRowHeight="16" x14ac:dyDescent="0.2"/>
  <cols>
    <col min="1" max="1" width="11.6640625" bestFit="1" customWidth="1"/>
    <col min="2" max="2" width="12" bestFit="1" customWidth="1"/>
  </cols>
  <sheetData>
    <row r="1" spans="1:2" x14ac:dyDescent="0.2">
      <c r="A1" s="2" t="s">
        <v>192</v>
      </c>
      <c r="B1" s="2" t="s">
        <v>189</v>
      </c>
    </row>
    <row r="2" spans="1:2" x14ac:dyDescent="0.2">
      <c r="A2" t="s">
        <v>6</v>
      </c>
      <c r="B2" t="s">
        <v>190</v>
      </c>
    </row>
    <row r="3" spans="1:2" x14ac:dyDescent="0.2">
      <c r="A3" t="s">
        <v>47</v>
      </c>
      <c r="B3" t="s">
        <v>190</v>
      </c>
    </row>
    <row r="4" spans="1:2" x14ac:dyDescent="0.2">
      <c r="A4" t="s">
        <v>15</v>
      </c>
      <c r="B4" t="s">
        <v>191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1B43C-1C85-C04B-8FE2-8105D8F0DBDF}">
  <dimension ref="A1:E138"/>
  <sheetViews>
    <sheetView workbookViewId="0">
      <selection activeCell="B2" sqref="B2"/>
    </sheetView>
  </sheetViews>
  <sheetFormatPr baseColWidth="10" defaultRowHeight="16" x14ac:dyDescent="0.2"/>
  <cols>
    <col min="1" max="1" width="9.5" bestFit="1" customWidth="1"/>
    <col min="2" max="2" width="20.1640625" bestFit="1" customWidth="1"/>
    <col min="3" max="3" width="14.83203125" bestFit="1" customWidth="1"/>
    <col min="4" max="4" width="13.83203125" bestFit="1" customWidth="1"/>
    <col min="5" max="5" width="12.83203125" bestFit="1" customWidth="1"/>
  </cols>
  <sheetData>
    <row r="1" spans="1:5" x14ac:dyDescent="0.2">
      <c r="A1" s="10" t="s">
        <v>247</v>
      </c>
      <c r="B1" s="10" t="s">
        <v>193</v>
      </c>
      <c r="C1" s="10" t="s">
        <v>3</v>
      </c>
      <c r="D1" s="10" t="s">
        <v>4</v>
      </c>
      <c r="E1" s="10" t="s">
        <v>5</v>
      </c>
    </row>
    <row r="2" spans="1:5" x14ac:dyDescent="0.2">
      <c r="A2" s="7">
        <v>1</v>
      </c>
      <c r="B2" s="8" t="s">
        <v>194</v>
      </c>
      <c r="C2" s="8" t="s">
        <v>101</v>
      </c>
      <c r="D2" s="8" t="s">
        <v>10</v>
      </c>
      <c r="E2" s="9">
        <v>51</v>
      </c>
    </row>
    <row r="3" spans="1:5" x14ac:dyDescent="0.2">
      <c r="A3" s="7">
        <v>1</v>
      </c>
      <c r="B3" s="8" t="s">
        <v>194</v>
      </c>
      <c r="C3" s="8" t="s">
        <v>102</v>
      </c>
      <c r="D3" s="8" t="s">
        <v>12</v>
      </c>
      <c r="E3" s="9">
        <v>56</v>
      </c>
    </row>
    <row r="4" spans="1:5" x14ac:dyDescent="0.2">
      <c r="A4" s="7">
        <v>2</v>
      </c>
      <c r="B4" s="8" t="s">
        <v>195</v>
      </c>
      <c r="C4" s="8" t="s">
        <v>183</v>
      </c>
      <c r="D4" s="8" t="s">
        <v>10</v>
      </c>
      <c r="E4" s="9">
        <v>44</v>
      </c>
    </row>
    <row r="5" spans="1:5" x14ac:dyDescent="0.2">
      <c r="A5" s="7">
        <v>2</v>
      </c>
      <c r="B5" s="8" t="s">
        <v>195</v>
      </c>
      <c r="C5" s="8" t="s">
        <v>184</v>
      </c>
      <c r="D5" s="8" t="s">
        <v>12</v>
      </c>
      <c r="E5" s="9">
        <v>42</v>
      </c>
    </row>
    <row r="6" spans="1:5" x14ac:dyDescent="0.2">
      <c r="A6" s="7">
        <v>3</v>
      </c>
      <c r="B6" s="8" t="s">
        <v>196</v>
      </c>
      <c r="C6" s="8" t="s">
        <v>72</v>
      </c>
      <c r="D6" s="8" t="s">
        <v>10</v>
      </c>
      <c r="E6" s="9">
        <v>43</v>
      </c>
    </row>
    <row r="7" spans="1:5" x14ac:dyDescent="0.2">
      <c r="A7" s="7">
        <v>3</v>
      </c>
      <c r="B7" s="8" t="s">
        <v>196</v>
      </c>
      <c r="C7" s="8" t="s">
        <v>73</v>
      </c>
      <c r="D7" s="8" t="s">
        <v>12</v>
      </c>
      <c r="E7" s="9">
        <v>33</v>
      </c>
    </row>
    <row r="8" spans="1:5" x14ac:dyDescent="0.2">
      <c r="A8" s="7">
        <v>4</v>
      </c>
      <c r="B8" s="8" t="s">
        <v>197</v>
      </c>
      <c r="C8" s="8" t="s">
        <v>162</v>
      </c>
      <c r="D8" s="8" t="s">
        <v>10</v>
      </c>
      <c r="E8" s="9">
        <v>45</v>
      </c>
    </row>
    <row r="9" spans="1:5" x14ac:dyDescent="0.2">
      <c r="A9" s="7">
        <v>4</v>
      </c>
      <c r="B9" s="8" t="s">
        <v>197</v>
      </c>
      <c r="C9" s="8" t="s">
        <v>163</v>
      </c>
      <c r="D9" s="8" t="s">
        <v>12</v>
      </c>
      <c r="E9" s="9">
        <v>39</v>
      </c>
    </row>
    <row r="10" spans="1:5" x14ac:dyDescent="0.2">
      <c r="A10" s="7">
        <v>4</v>
      </c>
      <c r="B10" s="8" t="s">
        <v>197</v>
      </c>
      <c r="C10" s="8" t="s">
        <v>164</v>
      </c>
      <c r="D10" s="8" t="s">
        <v>21</v>
      </c>
      <c r="E10" s="9">
        <v>33</v>
      </c>
    </row>
    <row r="11" spans="1:5" x14ac:dyDescent="0.2">
      <c r="A11" s="7">
        <v>5</v>
      </c>
      <c r="B11" s="8" t="s">
        <v>198</v>
      </c>
      <c r="C11" s="8" t="s">
        <v>48</v>
      </c>
      <c r="D11" s="8" t="s">
        <v>10</v>
      </c>
      <c r="E11" s="9">
        <v>32</v>
      </c>
    </row>
    <row r="12" spans="1:5" x14ac:dyDescent="0.2">
      <c r="A12" s="7">
        <v>5</v>
      </c>
      <c r="B12" s="8" t="s">
        <v>198</v>
      </c>
      <c r="C12" s="8" t="s">
        <v>49</v>
      </c>
      <c r="D12" s="8" t="s">
        <v>12</v>
      </c>
      <c r="E12" s="9">
        <v>51</v>
      </c>
    </row>
    <row r="13" spans="1:5" x14ac:dyDescent="0.2">
      <c r="A13" s="7">
        <v>5</v>
      </c>
      <c r="B13" s="8" t="s">
        <v>198</v>
      </c>
      <c r="C13" s="8" t="s">
        <v>50</v>
      </c>
      <c r="D13" s="8" t="s">
        <v>21</v>
      </c>
      <c r="E13" s="9">
        <v>49</v>
      </c>
    </row>
    <row r="14" spans="1:5" x14ac:dyDescent="0.2">
      <c r="A14" s="7">
        <v>6</v>
      </c>
      <c r="B14" s="8" t="s">
        <v>199</v>
      </c>
      <c r="C14" s="8" t="s">
        <v>122</v>
      </c>
      <c r="D14" s="8" t="s">
        <v>10</v>
      </c>
      <c r="E14" s="9">
        <v>36</v>
      </c>
    </row>
    <row r="15" spans="1:5" x14ac:dyDescent="0.2">
      <c r="A15" s="7">
        <v>6</v>
      </c>
      <c r="B15" s="8" t="s">
        <v>199</v>
      </c>
      <c r="C15" s="8" t="s">
        <v>123</v>
      </c>
      <c r="D15" s="8" t="s">
        <v>12</v>
      </c>
      <c r="E15" s="9">
        <v>42</v>
      </c>
    </row>
    <row r="16" spans="1:5" x14ac:dyDescent="0.2">
      <c r="A16" s="7">
        <v>6</v>
      </c>
      <c r="B16" s="8" t="s">
        <v>199</v>
      </c>
      <c r="C16" s="8" t="s">
        <v>124</v>
      </c>
      <c r="D16" s="8" t="s">
        <v>21</v>
      </c>
      <c r="E16" s="9">
        <v>37</v>
      </c>
    </row>
    <row r="17" spans="1:5" x14ac:dyDescent="0.2">
      <c r="A17" s="7">
        <v>7</v>
      </c>
      <c r="B17" s="8" t="s">
        <v>200</v>
      </c>
      <c r="C17" s="8" t="s">
        <v>56</v>
      </c>
      <c r="D17" s="8" t="s">
        <v>10</v>
      </c>
      <c r="E17" s="9">
        <v>46</v>
      </c>
    </row>
    <row r="18" spans="1:5" x14ac:dyDescent="0.2">
      <c r="A18" s="7">
        <v>7</v>
      </c>
      <c r="B18" s="8" t="s">
        <v>200</v>
      </c>
      <c r="C18" s="8" t="s">
        <v>57</v>
      </c>
      <c r="D18" s="8" t="s">
        <v>12</v>
      </c>
      <c r="E18" s="9">
        <v>41</v>
      </c>
    </row>
    <row r="19" spans="1:5" x14ac:dyDescent="0.2">
      <c r="A19" s="7">
        <v>7</v>
      </c>
      <c r="B19" s="8" t="s">
        <v>200</v>
      </c>
      <c r="C19" s="8" t="s">
        <v>58</v>
      </c>
      <c r="D19" s="8" t="s">
        <v>21</v>
      </c>
      <c r="E19" s="9">
        <v>39</v>
      </c>
    </row>
    <row r="20" spans="1:5" x14ac:dyDescent="0.2">
      <c r="A20" s="7">
        <v>7</v>
      </c>
      <c r="B20" s="8" t="s">
        <v>200</v>
      </c>
      <c r="C20" s="8" t="s">
        <v>59</v>
      </c>
      <c r="D20" s="8" t="s">
        <v>14</v>
      </c>
      <c r="E20" s="9">
        <v>28</v>
      </c>
    </row>
    <row r="21" spans="1:5" x14ac:dyDescent="0.2">
      <c r="A21" s="7">
        <v>8</v>
      </c>
      <c r="B21" s="8" t="s">
        <v>201</v>
      </c>
      <c r="C21" s="8" t="s">
        <v>120</v>
      </c>
      <c r="D21" s="8" t="s">
        <v>10</v>
      </c>
      <c r="E21" s="9">
        <v>34</v>
      </c>
    </row>
    <row r="22" spans="1:5" x14ac:dyDescent="0.2">
      <c r="A22" s="7">
        <v>8</v>
      </c>
      <c r="B22" s="8" t="s">
        <v>201</v>
      </c>
      <c r="C22" s="8" t="s">
        <v>121</v>
      </c>
      <c r="D22" s="8" t="s">
        <v>12</v>
      </c>
      <c r="E22" s="9">
        <v>35</v>
      </c>
    </row>
    <row r="23" spans="1:5" x14ac:dyDescent="0.2">
      <c r="A23" s="7">
        <v>9</v>
      </c>
      <c r="B23" s="8" t="s">
        <v>202</v>
      </c>
      <c r="C23" s="8" t="s">
        <v>110</v>
      </c>
      <c r="D23" s="8" t="s">
        <v>10</v>
      </c>
      <c r="E23" s="9">
        <v>57</v>
      </c>
    </row>
    <row r="24" spans="1:5" x14ac:dyDescent="0.2">
      <c r="A24" s="7">
        <v>9</v>
      </c>
      <c r="B24" s="8" t="s">
        <v>202</v>
      </c>
      <c r="C24" s="8" t="s">
        <v>111</v>
      </c>
      <c r="D24" s="8" t="s">
        <v>12</v>
      </c>
      <c r="E24" s="9">
        <v>42</v>
      </c>
    </row>
    <row r="25" spans="1:5" x14ac:dyDescent="0.2">
      <c r="A25" s="7">
        <v>9</v>
      </c>
      <c r="B25" s="8" t="s">
        <v>202</v>
      </c>
      <c r="C25" s="8" t="s">
        <v>112</v>
      </c>
      <c r="D25" s="8" t="s">
        <v>21</v>
      </c>
      <c r="E25" s="9">
        <v>38</v>
      </c>
    </row>
    <row r="26" spans="1:5" x14ac:dyDescent="0.2">
      <c r="A26" s="7">
        <v>9</v>
      </c>
      <c r="B26" s="8" t="s">
        <v>202</v>
      </c>
      <c r="C26" s="8" t="s">
        <v>113</v>
      </c>
      <c r="D26" s="8" t="s">
        <v>14</v>
      </c>
      <c r="E26" s="9">
        <v>40</v>
      </c>
    </row>
    <row r="27" spans="1:5" x14ac:dyDescent="0.2">
      <c r="A27" s="7">
        <v>10</v>
      </c>
      <c r="B27" s="8" t="s">
        <v>203</v>
      </c>
      <c r="C27" s="8" t="s">
        <v>41</v>
      </c>
      <c r="D27" s="8" t="s">
        <v>10</v>
      </c>
      <c r="E27" s="9">
        <v>47</v>
      </c>
    </row>
    <row r="28" spans="1:5" x14ac:dyDescent="0.2">
      <c r="A28" s="7">
        <v>11</v>
      </c>
      <c r="B28" s="8" t="s">
        <v>204</v>
      </c>
      <c r="C28" s="8" t="s">
        <v>165</v>
      </c>
      <c r="D28" s="8" t="s">
        <v>10</v>
      </c>
      <c r="E28" s="9">
        <v>35</v>
      </c>
    </row>
    <row r="29" spans="1:5" x14ac:dyDescent="0.2">
      <c r="A29" s="7">
        <v>11</v>
      </c>
      <c r="B29" s="8" t="s">
        <v>204</v>
      </c>
      <c r="C29" s="8" t="s">
        <v>166</v>
      </c>
      <c r="D29" s="8" t="s">
        <v>12</v>
      </c>
      <c r="E29" s="9">
        <v>40</v>
      </c>
    </row>
    <row r="30" spans="1:5" x14ac:dyDescent="0.2">
      <c r="A30" s="7">
        <v>12</v>
      </c>
      <c r="B30" s="8" t="s">
        <v>205</v>
      </c>
      <c r="C30" s="8" t="s">
        <v>177</v>
      </c>
      <c r="D30" s="8" t="s">
        <v>10</v>
      </c>
      <c r="E30" s="9">
        <v>57</v>
      </c>
    </row>
    <row r="31" spans="1:5" x14ac:dyDescent="0.2">
      <c r="A31" s="7">
        <v>13</v>
      </c>
      <c r="B31" s="8" t="s">
        <v>206</v>
      </c>
      <c r="C31" s="8" t="s">
        <v>129</v>
      </c>
      <c r="D31" s="8" t="s">
        <v>10</v>
      </c>
      <c r="E31" s="9">
        <v>53</v>
      </c>
    </row>
    <row r="32" spans="1:5" x14ac:dyDescent="0.2">
      <c r="A32" s="7">
        <v>14</v>
      </c>
      <c r="B32" s="8" t="s">
        <v>207</v>
      </c>
      <c r="C32" s="8" t="s">
        <v>147</v>
      </c>
      <c r="D32" s="8" t="s">
        <v>10</v>
      </c>
      <c r="E32" s="9">
        <v>36</v>
      </c>
    </row>
    <row r="33" spans="1:5" x14ac:dyDescent="0.2">
      <c r="A33" s="7">
        <v>14</v>
      </c>
      <c r="B33" s="8" t="s">
        <v>207</v>
      </c>
      <c r="C33" s="8" t="s">
        <v>148</v>
      </c>
      <c r="D33" s="8" t="s">
        <v>12</v>
      </c>
      <c r="E33" s="9">
        <v>43</v>
      </c>
    </row>
    <row r="34" spans="1:5" x14ac:dyDescent="0.2">
      <c r="A34" s="7">
        <v>14</v>
      </c>
      <c r="B34" s="8" t="s">
        <v>207</v>
      </c>
      <c r="C34" s="8" t="s">
        <v>149</v>
      </c>
      <c r="D34" s="8" t="s">
        <v>21</v>
      </c>
      <c r="E34" s="9">
        <v>52</v>
      </c>
    </row>
    <row r="35" spans="1:5" x14ac:dyDescent="0.2">
      <c r="A35" s="7">
        <v>15</v>
      </c>
      <c r="B35" s="8" t="s">
        <v>208</v>
      </c>
      <c r="C35" s="8" t="s">
        <v>158</v>
      </c>
      <c r="D35" s="8" t="s">
        <v>10</v>
      </c>
      <c r="E35" s="9">
        <v>53</v>
      </c>
    </row>
    <row r="36" spans="1:5" x14ac:dyDescent="0.2">
      <c r="A36" s="7">
        <v>15</v>
      </c>
      <c r="B36" s="8" t="s">
        <v>208</v>
      </c>
      <c r="C36" s="8" t="s">
        <v>159</v>
      </c>
      <c r="D36" s="8" t="s">
        <v>12</v>
      </c>
      <c r="E36" s="9">
        <v>53</v>
      </c>
    </row>
    <row r="37" spans="1:5" x14ac:dyDescent="0.2">
      <c r="A37" s="7">
        <v>16</v>
      </c>
      <c r="B37" s="8" t="s">
        <v>209</v>
      </c>
      <c r="C37" s="8" t="s">
        <v>92</v>
      </c>
      <c r="D37" s="8" t="s">
        <v>10</v>
      </c>
      <c r="E37" s="9">
        <v>38</v>
      </c>
    </row>
    <row r="38" spans="1:5" x14ac:dyDescent="0.2">
      <c r="A38" s="7">
        <v>16</v>
      </c>
      <c r="B38" s="8" t="s">
        <v>209</v>
      </c>
      <c r="C38" s="8" t="s">
        <v>93</v>
      </c>
      <c r="D38" s="8" t="s">
        <v>12</v>
      </c>
      <c r="E38" s="9">
        <v>29</v>
      </c>
    </row>
    <row r="39" spans="1:5" x14ac:dyDescent="0.2">
      <c r="A39" s="7">
        <v>17</v>
      </c>
      <c r="B39" s="8" t="s">
        <v>210</v>
      </c>
      <c r="C39" s="8" t="s">
        <v>145</v>
      </c>
      <c r="D39" s="8" t="s">
        <v>10</v>
      </c>
      <c r="E39" s="9">
        <v>33</v>
      </c>
    </row>
    <row r="40" spans="1:5" x14ac:dyDescent="0.2">
      <c r="A40" s="7">
        <v>18</v>
      </c>
      <c r="B40" s="8" t="s">
        <v>211</v>
      </c>
      <c r="C40" s="8" t="s">
        <v>118</v>
      </c>
      <c r="D40" s="8" t="s">
        <v>10</v>
      </c>
      <c r="E40" s="9">
        <v>35</v>
      </c>
    </row>
    <row r="41" spans="1:5" x14ac:dyDescent="0.2">
      <c r="A41" s="7">
        <v>19</v>
      </c>
      <c r="B41" s="8" t="s">
        <v>212</v>
      </c>
      <c r="C41" s="8" t="s">
        <v>131</v>
      </c>
      <c r="D41" s="8" t="s">
        <v>10</v>
      </c>
      <c r="E41" s="9">
        <v>58</v>
      </c>
    </row>
    <row r="42" spans="1:5" x14ac:dyDescent="0.2">
      <c r="A42" s="7">
        <v>19</v>
      </c>
      <c r="B42" s="8" t="s">
        <v>212</v>
      </c>
      <c r="C42" s="8" t="s">
        <v>132</v>
      </c>
      <c r="D42" s="8" t="s">
        <v>12</v>
      </c>
      <c r="E42" s="9">
        <v>52</v>
      </c>
    </row>
    <row r="43" spans="1:5" x14ac:dyDescent="0.2">
      <c r="A43" s="7">
        <v>19</v>
      </c>
      <c r="B43" s="8" t="s">
        <v>212</v>
      </c>
      <c r="C43" s="8" t="s">
        <v>133</v>
      </c>
      <c r="D43" s="8" t="s">
        <v>21</v>
      </c>
      <c r="E43" s="9">
        <v>43</v>
      </c>
    </row>
    <row r="44" spans="1:5" x14ac:dyDescent="0.2">
      <c r="A44" s="7">
        <v>20</v>
      </c>
      <c r="B44" s="8" t="s">
        <v>213</v>
      </c>
      <c r="C44" s="8" t="s">
        <v>18</v>
      </c>
      <c r="D44" s="8" t="s">
        <v>10</v>
      </c>
      <c r="E44" s="9">
        <v>20</v>
      </c>
    </row>
    <row r="45" spans="1:5" x14ac:dyDescent="0.2">
      <c r="A45" s="7">
        <v>20</v>
      </c>
      <c r="B45" s="8" t="s">
        <v>213</v>
      </c>
      <c r="C45" s="8" t="s">
        <v>19</v>
      </c>
      <c r="D45" s="8" t="s">
        <v>12</v>
      </c>
      <c r="E45" s="9">
        <v>58</v>
      </c>
    </row>
    <row r="46" spans="1:5" x14ac:dyDescent="0.2">
      <c r="A46" s="7">
        <v>20</v>
      </c>
      <c r="B46" s="8" t="s">
        <v>213</v>
      </c>
      <c r="C46" s="8" t="s">
        <v>20</v>
      </c>
      <c r="D46" s="8" t="s">
        <v>21</v>
      </c>
      <c r="E46" s="9">
        <v>51</v>
      </c>
    </row>
    <row r="47" spans="1:5" x14ac:dyDescent="0.2">
      <c r="A47" s="7">
        <v>21</v>
      </c>
      <c r="B47" s="8" t="s">
        <v>214</v>
      </c>
      <c r="C47" s="8" t="s">
        <v>154</v>
      </c>
      <c r="D47" s="8" t="s">
        <v>10</v>
      </c>
      <c r="E47" s="9">
        <v>32</v>
      </c>
    </row>
    <row r="48" spans="1:5" x14ac:dyDescent="0.2">
      <c r="A48" s="7">
        <v>21</v>
      </c>
      <c r="B48" s="8" t="s">
        <v>214</v>
      </c>
      <c r="C48" s="8" t="s">
        <v>155</v>
      </c>
      <c r="D48" s="8" t="s">
        <v>12</v>
      </c>
      <c r="E48" s="9">
        <v>43</v>
      </c>
    </row>
    <row r="49" spans="1:5" x14ac:dyDescent="0.2">
      <c r="A49" s="7">
        <v>21</v>
      </c>
      <c r="B49" s="8" t="s">
        <v>214</v>
      </c>
      <c r="C49" s="8" t="s">
        <v>156</v>
      </c>
      <c r="D49" s="8" t="s">
        <v>21</v>
      </c>
      <c r="E49" s="9">
        <v>45</v>
      </c>
    </row>
    <row r="50" spans="1:5" x14ac:dyDescent="0.2">
      <c r="A50" s="7">
        <v>22</v>
      </c>
      <c r="B50" s="8" t="s">
        <v>215</v>
      </c>
      <c r="C50" s="8" t="s">
        <v>33</v>
      </c>
      <c r="D50" s="8" t="s">
        <v>10</v>
      </c>
      <c r="E50" s="9">
        <v>36</v>
      </c>
    </row>
    <row r="51" spans="1:5" x14ac:dyDescent="0.2">
      <c r="A51" s="7">
        <v>22</v>
      </c>
      <c r="B51" s="8" t="s">
        <v>215</v>
      </c>
      <c r="C51" s="8" t="s">
        <v>34</v>
      </c>
      <c r="D51" s="8" t="s">
        <v>12</v>
      </c>
      <c r="E51" s="9">
        <v>34</v>
      </c>
    </row>
    <row r="52" spans="1:5" x14ac:dyDescent="0.2">
      <c r="A52" s="7">
        <v>22</v>
      </c>
      <c r="B52" s="8" t="s">
        <v>215</v>
      </c>
      <c r="C52" s="8" t="s">
        <v>35</v>
      </c>
      <c r="D52" s="8" t="s">
        <v>21</v>
      </c>
      <c r="E52" s="9">
        <v>38</v>
      </c>
    </row>
    <row r="53" spans="1:5" x14ac:dyDescent="0.2">
      <c r="A53" s="7">
        <v>23</v>
      </c>
      <c r="B53" s="8" t="s">
        <v>216</v>
      </c>
      <c r="C53" s="8" t="s">
        <v>67</v>
      </c>
      <c r="D53" s="8" t="s">
        <v>10</v>
      </c>
      <c r="E53" s="9">
        <v>44</v>
      </c>
    </row>
    <row r="54" spans="1:5" x14ac:dyDescent="0.2">
      <c r="A54" s="7">
        <v>23</v>
      </c>
      <c r="B54" s="8" t="s">
        <v>216</v>
      </c>
      <c r="C54" s="8" t="s">
        <v>68</v>
      </c>
      <c r="D54" s="8" t="s">
        <v>12</v>
      </c>
      <c r="E54" s="9">
        <v>43</v>
      </c>
    </row>
    <row r="55" spans="1:5" x14ac:dyDescent="0.2">
      <c r="A55" s="7">
        <v>23</v>
      </c>
      <c r="B55" s="8" t="s">
        <v>216</v>
      </c>
      <c r="C55" s="8" t="s">
        <v>69</v>
      </c>
      <c r="D55" s="8" t="s">
        <v>21</v>
      </c>
      <c r="E55" s="9">
        <v>41</v>
      </c>
    </row>
    <row r="56" spans="1:5" x14ac:dyDescent="0.2">
      <c r="A56" s="7">
        <v>23</v>
      </c>
      <c r="B56" s="8" t="s">
        <v>216</v>
      </c>
      <c r="C56" s="8" t="s">
        <v>70</v>
      </c>
      <c r="D56" s="8" t="s">
        <v>14</v>
      </c>
      <c r="E56" s="9">
        <v>35</v>
      </c>
    </row>
    <row r="57" spans="1:5" x14ac:dyDescent="0.2">
      <c r="A57" s="7">
        <v>24</v>
      </c>
      <c r="B57" s="8" t="s">
        <v>217</v>
      </c>
      <c r="C57" s="8" t="s">
        <v>115</v>
      </c>
      <c r="D57" s="8" t="s">
        <v>10</v>
      </c>
      <c r="E57" s="9">
        <v>44</v>
      </c>
    </row>
    <row r="58" spans="1:5" x14ac:dyDescent="0.2">
      <c r="A58" s="7">
        <v>24</v>
      </c>
      <c r="B58" s="8" t="s">
        <v>217</v>
      </c>
      <c r="C58" s="8" t="s">
        <v>116</v>
      </c>
      <c r="D58" s="8" t="s">
        <v>12</v>
      </c>
      <c r="E58" s="9">
        <v>45</v>
      </c>
    </row>
    <row r="59" spans="1:5" x14ac:dyDescent="0.2">
      <c r="A59" s="7">
        <v>25</v>
      </c>
      <c r="B59" s="8" t="s">
        <v>218</v>
      </c>
      <c r="C59" s="8" t="s">
        <v>37</v>
      </c>
      <c r="D59" s="8" t="s">
        <v>10</v>
      </c>
      <c r="E59" s="9">
        <v>39</v>
      </c>
    </row>
    <row r="60" spans="1:5" x14ac:dyDescent="0.2">
      <c r="A60" s="7">
        <v>25</v>
      </c>
      <c r="B60" s="8" t="s">
        <v>218</v>
      </c>
      <c r="C60" s="8" t="s">
        <v>38</v>
      </c>
      <c r="D60" s="8" t="s">
        <v>12</v>
      </c>
      <c r="E60" s="9">
        <v>40</v>
      </c>
    </row>
    <row r="61" spans="1:5" x14ac:dyDescent="0.2">
      <c r="A61" s="7">
        <v>25</v>
      </c>
      <c r="B61" s="8" t="s">
        <v>218</v>
      </c>
      <c r="C61" s="8" t="s">
        <v>39</v>
      </c>
      <c r="D61" s="8" t="s">
        <v>21</v>
      </c>
      <c r="E61" s="9">
        <v>48</v>
      </c>
    </row>
    <row r="62" spans="1:5" x14ac:dyDescent="0.2">
      <c r="A62" s="7">
        <v>25</v>
      </c>
      <c r="B62" s="8" t="s">
        <v>218</v>
      </c>
      <c r="C62" s="8" t="s">
        <v>40</v>
      </c>
      <c r="D62" s="8" t="s">
        <v>14</v>
      </c>
      <c r="E62" s="9">
        <v>44</v>
      </c>
    </row>
    <row r="63" spans="1:5" x14ac:dyDescent="0.2">
      <c r="A63" s="7">
        <v>26</v>
      </c>
      <c r="B63" s="8" t="s">
        <v>219</v>
      </c>
      <c r="C63" s="8" t="s">
        <v>61</v>
      </c>
      <c r="D63" s="8" t="s">
        <v>10</v>
      </c>
      <c r="E63" s="9">
        <v>58</v>
      </c>
    </row>
    <row r="64" spans="1:5" x14ac:dyDescent="0.2">
      <c r="A64" s="7">
        <v>26</v>
      </c>
      <c r="B64" s="8" t="s">
        <v>219</v>
      </c>
      <c r="C64" s="8" t="s">
        <v>62</v>
      </c>
      <c r="D64" s="8" t="s">
        <v>21</v>
      </c>
      <c r="E64" s="9">
        <v>61</v>
      </c>
    </row>
    <row r="65" spans="1:5" x14ac:dyDescent="0.2">
      <c r="A65" s="7">
        <v>26</v>
      </c>
      <c r="B65" s="8" t="s">
        <v>219</v>
      </c>
      <c r="C65" s="8" t="s">
        <v>63</v>
      </c>
      <c r="D65" s="8" t="s">
        <v>14</v>
      </c>
      <c r="E65" s="9">
        <v>55</v>
      </c>
    </row>
    <row r="66" spans="1:5" x14ac:dyDescent="0.2">
      <c r="A66" s="7">
        <v>26</v>
      </c>
      <c r="B66" s="8" t="s">
        <v>219</v>
      </c>
      <c r="C66" s="8" t="s">
        <v>64</v>
      </c>
      <c r="D66" s="8" t="s">
        <v>65</v>
      </c>
      <c r="E66" s="9">
        <v>38</v>
      </c>
    </row>
    <row r="67" spans="1:5" x14ac:dyDescent="0.2">
      <c r="A67" s="7">
        <v>27</v>
      </c>
      <c r="B67" s="8" t="s">
        <v>220</v>
      </c>
      <c r="C67" s="8" t="s">
        <v>75</v>
      </c>
      <c r="D67" s="8" t="s">
        <v>10</v>
      </c>
      <c r="E67" s="9">
        <v>47</v>
      </c>
    </row>
    <row r="68" spans="1:5" x14ac:dyDescent="0.2">
      <c r="A68" s="7">
        <v>28</v>
      </c>
      <c r="B68" s="8" t="s">
        <v>221</v>
      </c>
      <c r="C68" s="8" t="s">
        <v>171</v>
      </c>
      <c r="D68" s="8" t="s">
        <v>10</v>
      </c>
      <c r="E68" s="9">
        <v>47</v>
      </c>
    </row>
    <row r="69" spans="1:5" x14ac:dyDescent="0.2">
      <c r="A69" s="7">
        <v>28</v>
      </c>
      <c r="B69" s="8" t="s">
        <v>221</v>
      </c>
      <c r="C69" s="8" t="s">
        <v>172</v>
      </c>
      <c r="D69" s="8" t="s">
        <v>12</v>
      </c>
      <c r="E69" s="9">
        <v>44</v>
      </c>
    </row>
    <row r="70" spans="1:5" x14ac:dyDescent="0.2">
      <c r="A70" s="7">
        <v>28</v>
      </c>
      <c r="B70" s="8" t="s">
        <v>221</v>
      </c>
      <c r="C70" s="8" t="s">
        <v>173</v>
      </c>
      <c r="D70" s="8" t="s">
        <v>21</v>
      </c>
      <c r="E70" s="9">
        <v>31</v>
      </c>
    </row>
    <row r="71" spans="1:5" x14ac:dyDescent="0.2">
      <c r="A71" s="7">
        <v>29</v>
      </c>
      <c r="B71" s="8" t="s">
        <v>222</v>
      </c>
      <c r="C71" s="8" t="s">
        <v>141</v>
      </c>
      <c r="D71" s="8" t="s">
        <v>10</v>
      </c>
      <c r="E71" s="9">
        <v>34</v>
      </c>
    </row>
    <row r="72" spans="1:5" x14ac:dyDescent="0.2">
      <c r="A72" s="7">
        <v>29</v>
      </c>
      <c r="B72" s="8" t="s">
        <v>222</v>
      </c>
      <c r="C72" s="8" t="s">
        <v>142</v>
      </c>
      <c r="D72" s="8" t="s">
        <v>12</v>
      </c>
      <c r="E72" s="9">
        <v>32</v>
      </c>
    </row>
    <row r="73" spans="1:5" x14ac:dyDescent="0.2">
      <c r="A73" s="7">
        <v>29</v>
      </c>
      <c r="B73" s="8" t="s">
        <v>222</v>
      </c>
      <c r="C73" s="8" t="s">
        <v>143</v>
      </c>
      <c r="D73" s="8" t="s">
        <v>21</v>
      </c>
      <c r="E73" s="9">
        <v>30</v>
      </c>
    </row>
    <row r="74" spans="1:5" x14ac:dyDescent="0.2">
      <c r="A74" s="7">
        <v>30</v>
      </c>
      <c r="B74" s="8" t="s">
        <v>223</v>
      </c>
      <c r="C74" s="8" t="s">
        <v>94</v>
      </c>
      <c r="D74" s="8" t="s">
        <v>10</v>
      </c>
      <c r="E74" s="9">
        <v>35</v>
      </c>
    </row>
    <row r="75" spans="1:5" x14ac:dyDescent="0.2">
      <c r="A75" s="7">
        <v>30</v>
      </c>
      <c r="B75" s="8" t="s">
        <v>223</v>
      </c>
      <c r="C75" s="8" t="s">
        <v>95</v>
      </c>
      <c r="D75" s="8" t="s">
        <v>12</v>
      </c>
      <c r="E75" s="9">
        <v>39</v>
      </c>
    </row>
    <row r="76" spans="1:5" x14ac:dyDescent="0.2">
      <c r="A76" s="7">
        <v>30</v>
      </c>
      <c r="B76" s="8" t="s">
        <v>223</v>
      </c>
      <c r="C76" s="8" t="s">
        <v>96</v>
      </c>
      <c r="D76" s="8" t="s">
        <v>21</v>
      </c>
      <c r="E76" s="9">
        <v>30</v>
      </c>
    </row>
    <row r="77" spans="1:5" x14ac:dyDescent="0.2">
      <c r="A77" s="7">
        <v>30</v>
      </c>
      <c r="B77" s="8" t="s">
        <v>223</v>
      </c>
      <c r="C77" s="8" t="s">
        <v>97</v>
      </c>
      <c r="D77" s="8" t="s">
        <v>14</v>
      </c>
      <c r="E77" s="9">
        <v>40</v>
      </c>
    </row>
    <row r="78" spans="1:5" x14ac:dyDescent="0.2">
      <c r="A78" s="7">
        <v>31</v>
      </c>
      <c r="B78" s="8" t="s">
        <v>224</v>
      </c>
      <c r="C78" s="8" t="s">
        <v>52</v>
      </c>
      <c r="D78" s="8" t="s">
        <v>10</v>
      </c>
      <c r="E78" s="9">
        <v>44</v>
      </c>
    </row>
    <row r="79" spans="1:5" x14ac:dyDescent="0.2">
      <c r="A79" s="7">
        <v>31</v>
      </c>
      <c r="B79" s="8" t="s">
        <v>224</v>
      </c>
      <c r="C79" s="8" t="s">
        <v>53</v>
      </c>
      <c r="D79" s="8" t="s">
        <v>12</v>
      </c>
      <c r="E79" s="9">
        <v>38</v>
      </c>
    </row>
    <row r="80" spans="1:5" x14ac:dyDescent="0.2">
      <c r="A80" s="7">
        <v>31</v>
      </c>
      <c r="B80" s="8" t="s">
        <v>224</v>
      </c>
      <c r="C80" s="8" t="s">
        <v>54</v>
      </c>
      <c r="D80" s="8" t="s">
        <v>21</v>
      </c>
      <c r="E80" s="9">
        <v>42</v>
      </c>
    </row>
    <row r="81" spans="1:5" x14ac:dyDescent="0.2">
      <c r="A81" s="7">
        <v>32</v>
      </c>
      <c r="B81" s="8" t="s">
        <v>225</v>
      </c>
      <c r="C81" s="8" t="s">
        <v>168</v>
      </c>
      <c r="D81" s="8" t="s">
        <v>10</v>
      </c>
      <c r="E81" s="9">
        <v>52</v>
      </c>
    </row>
    <row r="82" spans="1:5" x14ac:dyDescent="0.2">
      <c r="A82" s="7">
        <v>32</v>
      </c>
      <c r="B82" s="8" t="s">
        <v>225</v>
      </c>
      <c r="C82" s="8" t="s">
        <v>169</v>
      </c>
      <c r="D82" s="8" t="s">
        <v>12</v>
      </c>
      <c r="E82" s="9">
        <v>47</v>
      </c>
    </row>
    <row r="83" spans="1:5" x14ac:dyDescent="0.2">
      <c r="A83" s="7">
        <v>33</v>
      </c>
      <c r="B83" s="8" t="s">
        <v>226</v>
      </c>
      <c r="C83" s="8" t="s">
        <v>103</v>
      </c>
      <c r="D83" s="8" t="s">
        <v>10</v>
      </c>
      <c r="E83" s="9">
        <v>45</v>
      </c>
    </row>
    <row r="84" spans="1:5" x14ac:dyDescent="0.2">
      <c r="A84" s="7">
        <v>33</v>
      </c>
      <c r="B84" s="8" t="s">
        <v>226</v>
      </c>
      <c r="C84" s="8" t="s">
        <v>104</v>
      </c>
      <c r="D84" s="8" t="s">
        <v>12</v>
      </c>
      <c r="E84" s="9">
        <v>44</v>
      </c>
    </row>
    <row r="85" spans="1:5" x14ac:dyDescent="0.2">
      <c r="A85" s="7">
        <v>33</v>
      </c>
      <c r="B85" s="8" t="s">
        <v>226</v>
      </c>
      <c r="C85" s="8" t="s">
        <v>105</v>
      </c>
      <c r="D85" s="8" t="s">
        <v>21</v>
      </c>
      <c r="E85" s="9">
        <v>27</v>
      </c>
    </row>
    <row r="86" spans="1:5" x14ac:dyDescent="0.2">
      <c r="A86" s="7">
        <v>34</v>
      </c>
      <c r="B86" s="8" t="s">
        <v>227</v>
      </c>
      <c r="C86" s="8" t="s">
        <v>107</v>
      </c>
      <c r="D86" s="8" t="s">
        <v>10</v>
      </c>
      <c r="E86" s="9">
        <v>52</v>
      </c>
    </row>
    <row r="87" spans="1:5" x14ac:dyDescent="0.2">
      <c r="A87" s="7">
        <v>34</v>
      </c>
      <c r="B87" s="8" t="s">
        <v>227</v>
      </c>
      <c r="C87" s="8" t="s">
        <v>108</v>
      </c>
      <c r="D87" s="8" t="s">
        <v>12</v>
      </c>
      <c r="E87" s="9">
        <v>45</v>
      </c>
    </row>
    <row r="88" spans="1:5" x14ac:dyDescent="0.2">
      <c r="A88" s="7">
        <v>34</v>
      </c>
      <c r="B88" s="8" t="s">
        <v>227</v>
      </c>
      <c r="C88" s="8" t="s">
        <v>109</v>
      </c>
      <c r="D88" s="8" t="s">
        <v>21</v>
      </c>
      <c r="E88" s="9">
        <v>45</v>
      </c>
    </row>
    <row r="89" spans="1:5" x14ac:dyDescent="0.2">
      <c r="A89" s="7">
        <v>35</v>
      </c>
      <c r="B89" s="8" t="s">
        <v>228</v>
      </c>
      <c r="C89" s="8" t="s">
        <v>44</v>
      </c>
      <c r="D89" s="8" t="s">
        <v>10</v>
      </c>
      <c r="E89" s="9">
        <v>47</v>
      </c>
    </row>
    <row r="90" spans="1:5" x14ac:dyDescent="0.2">
      <c r="A90" s="7">
        <v>35</v>
      </c>
      <c r="B90" s="8" t="s">
        <v>228</v>
      </c>
      <c r="C90" s="8" t="s">
        <v>45</v>
      </c>
      <c r="D90" s="8" t="s">
        <v>12</v>
      </c>
      <c r="E90" s="9">
        <v>33</v>
      </c>
    </row>
    <row r="91" spans="1:5" x14ac:dyDescent="0.2">
      <c r="A91" s="7">
        <v>35</v>
      </c>
      <c r="B91" s="8" t="s">
        <v>228</v>
      </c>
      <c r="C91" s="8" t="s">
        <v>46</v>
      </c>
      <c r="D91" s="8" t="s">
        <v>21</v>
      </c>
      <c r="E91" s="9">
        <v>37</v>
      </c>
    </row>
    <row r="92" spans="1:5" x14ac:dyDescent="0.2">
      <c r="A92" s="7">
        <v>36</v>
      </c>
      <c r="B92" s="8" t="s">
        <v>229</v>
      </c>
      <c r="C92" s="8" t="s">
        <v>174</v>
      </c>
      <c r="D92" s="8" t="s">
        <v>10</v>
      </c>
      <c r="E92" s="9">
        <v>29</v>
      </c>
    </row>
    <row r="93" spans="1:5" x14ac:dyDescent="0.2">
      <c r="A93" s="7">
        <v>36</v>
      </c>
      <c r="B93" s="8" t="s">
        <v>229</v>
      </c>
      <c r="C93" s="8" t="s">
        <v>175</v>
      </c>
      <c r="D93" s="8" t="s">
        <v>12</v>
      </c>
      <c r="E93" s="9">
        <v>34</v>
      </c>
    </row>
    <row r="94" spans="1:5" x14ac:dyDescent="0.2">
      <c r="A94" s="7">
        <v>36</v>
      </c>
      <c r="B94" s="8" t="s">
        <v>229</v>
      </c>
      <c r="C94" s="8" t="s">
        <v>176</v>
      </c>
      <c r="D94" s="8" t="s">
        <v>21</v>
      </c>
      <c r="E94" s="9">
        <v>30</v>
      </c>
    </row>
    <row r="95" spans="1:5" x14ac:dyDescent="0.2">
      <c r="A95" s="7">
        <v>40</v>
      </c>
      <c r="B95" s="8" t="s">
        <v>233</v>
      </c>
      <c r="C95" s="8" t="s">
        <v>178</v>
      </c>
      <c r="D95" s="8" t="s">
        <v>10</v>
      </c>
      <c r="E95" s="9">
        <v>41</v>
      </c>
    </row>
    <row r="96" spans="1:5" x14ac:dyDescent="0.2">
      <c r="A96" s="7">
        <v>40</v>
      </c>
      <c r="B96" s="8" t="s">
        <v>233</v>
      </c>
      <c r="C96" s="8" t="s">
        <v>179</v>
      </c>
      <c r="D96" s="8" t="s">
        <v>12</v>
      </c>
      <c r="E96" s="9">
        <v>35</v>
      </c>
    </row>
    <row r="97" spans="1:5" x14ac:dyDescent="0.2">
      <c r="A97" s="7">
        <v>40</v>
      </c>
      <c r="B97" s="8" t="s">
        <v>233</v>
      </c>
      <c r="C97" s="8" t="s">
        <v>180</v>
      </c>
      <c r="D97" s="8" t="s">
        <v>21</v>
      </c>
      <c r="E97" s="9">
        <v>53</v>
      </c>
    </row>
    <row r="98" spans="1:5" x14ac:dyDescent="0.2">
      <c r="A98" s="7">
        <v>40</v>
      </c>
      <c r="B98" s="8" t="s">
        <v>233</v>
      </c>
      <c r="C98" s="8" t="s">
        <v>181</v>
      </c>
      <c r="D98" s="8" t="s">
        <v>14</v>
      </c>
      <c r="E98" s="9">
        <v>54</v>
      </c>
    </row>
    <row r="99" spans="1:5" x14ac:dyDescent="0.2">
      <c r="A99" s="7">
        <v>41</v>
      </c>
      <c r="B99" s="8" t="s">
        <v>234</v>
      </c>
      <c r="C99" s="8" t="s">
        <v>136</v>
      </c>
      <c r="D99" s="8" t="s">
        <v>10</v>
      </c>
      <c r="E99" s="9">
        <v>38</v>
      </c>
    </row>
    <row r="100" spans="1:5" x14ac:dyDescent="0.2">
      <c r="A100" s="7">
        <v>41</v>
      </c>
      <c r="B100" s="8" t="s">
        <v>234</v>
      </c>
      <c r="C100" s="8" t="s">
        <v>137</v>
      </c>
      <c r="D100" s="8" t="s">
        <v>12</v>
      </c>
      <c r="E100" s="9">
        <v>31</v>
      </c>
    </row>
    <row r="101" spans="1:5" x14ac:dyDescent="0.2">
      <c r="A101" s="7">
        <v>41</v>
      </c>
      <c r="B101" s="8" t="s">
        <v>234</v>
      </c>
      <c r="C101" s="8" t="s">
        <v>138</v>
      </c>
      <c r="D101" s="8" t="s">
        <v>21</v>
      </c>
      <c r="E101" s="9">
        <v>50</v>
      </c>
    </row>
    <row r="102" spans="1:5" x14ac:dyDescent="0.2">
      <c r="A102" s="7">
        <v>41</v>
      </c>
      <c r="B102" s="8" t="s">
        <v>234</v>
      </c>
      <c r="C102" s="8" t="s">
        <v>139</v>
      </c>
      <c r="D102" s="8" t="s">
        <v>14</v>
      </c>
      <c r="E102" s="9">
        <v>48</v>
      </c>
    </row>
    <row r="103" spans="1:5" x14ac:dyDescent="0.2">
      <c r="A103" s="7">
        <v>42</v>
      </c>
      <c r="B103" s="8" t="s">
        <v>235</v>
      </c>
      <c r="C103" s="8" t="s">
        <v>151</v>
      </c>
      <c r="D103" s="8" t="s">
        <v>10</v>
      </c>
      <c r="E103" s="9">
        <v>51</v>
      </c>
    </row>
    <row r="104" spans="1:5" x14ac:dyDescent="0.2">
      <c r="A104" s="7">
        <v>42</v>
      </c>
      <c r="B104" s="8" t="s">
        <v>235</v>
      </c>
      <c r="C104" s="8" t="s">
        <v>152</v>
      </c>
      <c r="D104" s="8" t="s">
        <v>12</v>
      </c>
      <c r="E104" s="9">
        <v>49</v>
      </c>
    </row>
    <row r="105" spans="1:5" x14ac:dyDescent="0.2">
      <c r="A105" s="7">
        <v>43</v>
      </c>
      <c r="B105" s="8" t="s">
        <v>236</v>
      </c>
      <c r="C105" s="8" t="s">
        <v>86</v>
      </c>
      <c r="D105" s="8" t="s">
        <v>10</v>
      </c>
      <c r="E105" s="9">
        <v>37</v>
      </c>
    </row>
    <row r="106" spans="1:5" x14ac:dyDescent="0.2">
      <c r="A106" s="7">
        <v>43</v>
      </c>
      <c r="B106" s="8" t="s">
        <v>236</v>
      </c>
      <c r="C106" s="8" t="s">
        <v>87</v>
      </c>
      <c r="D106" s="8" t="s">
        <v>12</v>
      </c>
      <c r="E106" s="9">
        <v>34</v>
      </c>
    </row>
    <row r="107" spans="1:5" x14ac:dyDescent="0.2">
      <c r="A107" s="7">
        <v>44</v>
      </c>
      <c r="B107" s="8" t="s">
        <v>237</v>
      </c>
      <c r="C107" s="8" t="s">
        <v>9</v>
      </c>
      <c r="D107" s="8" t="s">
        <v>10</v>
      </c>
      <c r="E107" s="9">
        <v>48</v>
      </c>
    </row>
    <row r="108" spans="1:5" x14ac:dyDescent="0.2">
      <c r="A108" s="7">
        <v>44</v>
      </c>
      <c r="B108" s="8" t="s">
        <v>237</v>
      </c>
      <c r="C108" s="8" t="s">
        <v>11</v>
      </c>
      <c r="D108" s="8" t="s">
        <v>12</v>
      </c>
      <c r="E108" s="9">
        <v>39</v>
      </c>
    </row>
    <row r="109" spans="1:5" x14ac:dyDescent="0.2">
      <c r="A109" s="7">
        <v>44</v>
      </c>
      <c r="B109" s="8" t="s">
        <v>237</v>
      </c>
      <c r="C109" s="8" t="s">
        <v>13</v>
      </c>
      <c r="D109" s="8" t="s">
        <v>14</v>
      </c>
      <c r="E109" s="9">
        <v>24</v>
      </c>
    </row>
    <row r="110" spans="1:5" x14ac:dyDescent="0.2">
      <c r="A110" s="7">
        <v>45</v>
      </c>
      <c r="B110" s="8" t="s">
        <v>238</v>
      </c>
      <c r="C110" s="8" t="s">
        <v>160</v>
      </c>
      <c r="D110" s="8" t="s">
        <v>10</v>
      </c>
      <c r="E110" s="9">
        <v>29</v>
      </c>
    </row>
    <row r="111" spans="1:5" x14ac:dyDescent="0.2">
      <c r="A111" s="7">
        <v>45</v>
      </c>
      <c r="B111" s="8" t="s">
        <v>238</v>
      </c>
      <c r="C111" s="8" t="s">
        <v>161</v>
      </c>
      <c r="D111" s="8" t="s">
        <v>12</v>
      </c>
      <c r="E111" s="9">
        <v>34</v>
      </c>
    </row>
    <row r="112" spans="1:5" x14ac:dyDescent="0.2">
      <c r="A112" s="7">
        <v>46</v>
      </c>
      <c r="B112" s="8" t="s">
        <v>239</v>
      </c>
      <c r="C112" s="8" t="s">
        <v>24</v>
      </c>
      <c r="D112" s="8" t="s">
        <v>10</v>
      </c>
      <c r="E112" s="9">
        <v>53</v>
      </c>
    </row>
    <row r="113" spans="1:5" x14ac:dyDescent="0.2">
      <c r="A113" s="7">
        <v>46</v>
      </c>
      <c r="B113" s="8" t="s">
        <v>239</v>
      </c>
      <c r="C113" s="8" t="s">
        <v>25</v>
      </c>
      <c r="D113" s="8" t="s">
        <v>12</v>
      </c>
      <c r="E113" s="9">
        <v>39</v>
      </c>
    </row>
    <row r="114" spans="1:5" x14ac:dyDescent="0.2">
      <c r="A114" s="7">
        <v>46</v>
      </c>
      <c r="B114" s="8" t="s">
        <v>239</v>
      </c>
      <c r="C114" s="8" t="s">
        <v>26</v>
      </c>
      <c r="D114" s="8" t="s">
        <v>21</v>
      </c>
      <c r="E114" s="9">
        <v>27</v>
      </c>
    </row>
    <row r="115" spans="1:5" x14ac:dyDescent="0.2">
      <c r="A115" s="7">
        <v>46</v>
      </c>
      <c r="B115" s="8" t="s">
        <v>239</v>
      </c>
      <c r="C115" s="8" t="s">
        <v>27</v>
      </c>
      <c r="D115" s="8" t="s">
        <v>14</v>
      </c>
      <c r="E115" s="9">
        <v>42</v>
      </c>
    </row>
    <row r="116" spans="1:5" x14ac:dyDescent="0.2">
      <c r="A116" s="7">
        <v>47</v>
      </c>
      <c r="B116" s="8" t="s">
        <v>240</v>
      </c>
      <c r="C116" s="8" t="s">
        <v>185</v>
      </c>
      <c r="D116" s="8" t="s">
        <v>10</v>
      </c>
      <c r="E116" s="9">
        <v>11</v>
      </c>
    </row>
    <row r="117" spans="1:5" x14ac:dyDescent="0.2">
      <c r="A117" s="7">
        <v>47</v>
      </c>
      <c r="B117" s="8" t="s">
        <v>240</v>
      </c>
      <c r="C117" s="8" t="s">
        <v>186</v>
      </c>
      <c r="D117" s="8" t="s">
        <v>12</v>
      </c>
      <c r="E117" s="9">
        <v>45</v>
      </c>
    </row>
    <row r="118" spans="1:5" x14ac:dyDescent="0.2">
      <c r="A118" s="7">
        <v>47</v>
      </c>
      <c r="B118" s="8" t="s">
        <v>240</v>
      </c>
      <c r="C118" s="8" t="s">
        <v>187</v>
      </c>
      <c r="D118" s="8" t="s">
        <v>21</v>
      </c>
      <c r="E118" s="9">
        <v>21</v>
      </c>
    </row>
    <row r="119" spans="1:5" x14ac:dyDescent="0.2">
      <c r="A119" s="7">
        <v>47</v>
      </c>
      <c r="B119" s="8" t="s">
        <v>240</v>
      </c>
      <c r="C119" s="8" t="s">
        <v>185</v>
      </c>
      <c r="D119" s="8" t="s">
        <v>10</v>
      </c>
      <c r="E119" s="9">
        <v>11</v>
      </c>
    </row>
    <row r="120" spans="1:5" x14ac:dyDescent="0.2">
      <c r="A120" s="7">
        <v>47</v>
      </c>
      <c r="B120" s="8" t="s">
        <v>240</v>
      </c>
      <c r="C120" s="8" t="s">
        <v>186</v>
      </c>
      <c r="D120" s="8" t="s">
        <v>12</v>
      </c>
      <c r="E120" s="9">
        <v>45</v>
      </c>
    </row>
    <row r="121" spans="1:5" x14ac:dyDescent="0.2">
      <c r="A121" s="7">
        <v>47</v>
      </c>
      <c r="B121" s="8" t="s">
        <v>240</v>
      </c>
      <c r="C121" s="8" t="s">
        <v>187</v>
      </c>
      <c r="D121" s="8" t="s">
        <v>21</v>
      </c>
      <c r="E121" s="9">
        <v>21</v>
      </c>
    </row>
    <row r="122" spans="1:5" x14ac:dyDescent="0.2">
      <c r="A122" s="7">
        <v>48</v>
      </c>
      <c r="B122" s="8" t="s">
        <v>302</v>
      </c>
      <c r="C122" s="8" t="s">
        <v>89</v>
      </c>
      <c r="D122" s="8" t="s">
        <v>10</v>
      </c>
      <c r="E122" s="9">
        <v>32</v>
      </c>
    </row>
    <row r="123" spans="1:5" x14ac:dyDescent="0.2">
      <c r="A123" s="7">
        <v>48</v>
      </c>
      <c r="B123" s="8" t="s">
        <v>302</v>
      </c>
      <c r="C123" s="8" t="s">
        <v>90</v>
      </c>
      <c r="D123" s="8" t="s">
        <v>12</v>
      </c>
      <c r="E123" s="9">
        <v>50</v>
      </c>
    </row>
    <row r="124" spans="1:5" x14ac:dyDescent="0.2">
      <c r="A124" s="7">
        <v>49</v>
      </c>
      <c r="B124" s="8" t="s">
        <v>305</v>
      </c>
      <c r="C124" s="8" t="s">
        <v>134</v>
      </c>
      <c r="D124" s="8" t="s">
        <v>10</v>
      </c>
      <c r="E124" s="9">
        <v>60</v>
      </c>
    </row>
    <row r="125" spans="1:5" x14ac:dyDescent="0.2">
      <c r="A125" s="7">
        <v>49</v>
      </c>
      <c r="B125" s="8" t="s">
        <v>305</v>
      </c>
      <c r="C125" s="8" t="s">
        <v>135</v>
      </c>
      <c r="D125" s="8" t="s">
        <v>12</v>
      </c>
      <c r="E125" s="9">
        <v>53</v>
      </c>
    </row>
    <row r="126" spans="1:5" x14ac:dyDescent="0.2">
      <c r="A126" s="7">
        <v>50</v>
      </c>
      <c r="B126" s="8" t="s">
        <v>301</v>
      </c>
      <c r="C126" s="8" t="s">
        <v>79</v>
      </c>
      <c r="D126" s="8" t="s">
        <v>10</v>
      </c>
      <c r="E126" s="9">
        <v>22</v>
      </c>
    </row>
    <row r="127" spans="1:5" x14ac:dyDescent="0.2">
      <c r="A127" s="7">
        <v>51</v>
      </c>
      <c r="B127" s="8" t="s">
        <v>244</v>
      </c>
      <c r="C127" s="8" t="s">
        <v>81</v>
      </c>
      <c r="D127" s="8" t="s">
        <v>10</v>
      </c>
      <c r="E127" s="9">
        <v>36</v>
      </c>
    </row>
    <row r="128" spans="1:5" x14ac:dyDescent="0.2">
      <c r="A128" s="7">
        <v>51</v>
      </c>
      <c r="B128" s="8" t="s">
        <v>244</v>
      </c>
      <c r="C128" s="8" t="s">
        <v>82</v>
      </c>
      <c r="D128" s="8" t="s">
        <v>12</v>
      </c>
      <c r="E128" s="9">
        <v>36</v>
      </c>
    </row>
    <row r="129" spans="1:5" x14ac:dyDescent="0.2">
      <c r="A129" s="7">
        <v>51</v>
      </c>
      <c r="B129" s="8" t="s">
        <v>244</v>
      </c>
      <c r="C129" s="8" t="s">
        <v>83</v>
      </c>
      <c r="D129" s="8" t="s">
        <v>21</v>
      </c>
      <c r="E129" s="9">
        <v>39</v>
      </c>
    </row>
    <row r="130" spans="1:5" x14ac:dyDescent="0.2">
      <c r="A130" s="7">
        <v>51</v>
      </c>
      <c r="B130" s="8" t="s">
        <v>244</v>
      </c>
      <c r="C130" s="8" t="s">
        <v>84</v>
      </c>
      <c r="D130" s="8" t="s">
        <v>14</v>
      </c>
      <c r="E130" s="9">
        <v>42</v>
      </c>
    </row>
    <row r="131" spans="1:5" x14ac:dyDescent="0.2">
      <c r="A131" s="7">
        <v>51</v>
      </c>
      <c r="B131" s="8" t="s">
        <v>244</v>
      </c>
      <c r="C131" s="8" t="s">
        <v>85</v>
      </c>
      <c r="D131" s="8" t="s">
        <v>65</v>
      </c>
      <c r="E131" s="9">
        <v>39</v>
      </c>
    </row>
    <row r="132" spans="1:5" x14ac:dyDescent="0.2">
      <c r="A132" s="7" t="e">
        <v>#N/A</v>
      </c>
      <c r="B132" s="8" t="s">
        <v>300</v>
      </c>
      <c r="C132" s="8" t="s">
        <v>29</v>
      </c>
      <c r="D132" s="8" t="s">
        <v>10</v>
      </c>
      <c r="E132" s="9">
        <v>47</v>
      </c>
    </row>
    <row r="133" spans="1:5" x14ac:dyDescent="0.2">
      <c r="A133" s="7" t="e">
        <v>#N/A</v>
      </c>
      <c r="B133" s="8" t="s">
        <v>300</v>
      </c>
      <c r="C133" s="8" t="s">
        <v>30</v>
      </c>
      <c r="D133" s="8" t="s">
        <v>12</v>
      </c>
      <c r="E133" s="9">
        <v>29</v>
      </c>
    </row>
    <row r="134" spans="1:5" x14ac:dyDescent="0.2">
      <c r="A134" s="7" t="e">
        <v>#N/A</v>
      </c>
      <c r="B134" s="8" t="s">
        <v>300</v>
      </c>
      <c r="C134" s="8" t="s">
        <v>31</v>
      </c>
      <c r="D134" s="8" t="s">
        <v>21</v>
      </c>
      <c r="E134" s="9">
        <v>27</v>
      </c>
    </row>
    <row r="135" spans="1:5" x14ac:dyDescent="0.2">
      <c r="A135" s="7" t="e">
        <v>#N/A</v>
      </c>
      <c r="B135" s="8" t="s">
        <v>303</v>
      </c>
      <c r="C135" s="8" t="s">
        <v>99</v>
      </c>
      <c r="D135" s="8" t="s">
        <v>10</v>
      </c>
      <c r="E135" s="9">
        <v>38</v>
      </c>
    </row>
    <row r="136" spans="1:5" x14ac:dyDescent="0.2">
      <c r="A136" s="7" t="e">
        <v>#N/A</v>
      </c>
      <c r="B136" s="8" t="s">
        <v>303</v>
      </c>
      <c r="C136" s="8" t="s">
        <v>100</v>
      </c>
      <c r="D136" s="8" t="s">
        <v>12</v>
      </c>
      <c r="E136" s="9">
        <v>31</v>
      </c>
    </row>
    <row r="137" spans="1:5" x14ac:dyDescent="0.2">
      <c r="A137" s="7" t="e">
        <v>#N/A</v>
      </c>
      <c r="B137" s="8" t="s">
        <v>304</v>
      </c>
      <c r="C137" s="8" t="s">
        <v>126</v>
      </c>
      <c r="D137" s="8" t="s">
        <v>10</v>
      </c>
      <c r="E137" s="9">
        <v>35</v>
      </c>
    </row>
    <row r="138" spans="1:5" x14ac:dyDescent="0.2">
      <c r="A138" s="13" t="e">
        <v>#N/A</v>
      </c>
      <c r="B138" s="14" t="s">
        <v>304</v>
      </c>
      <c r="C138" s="14" t="s">
        <v>127</v>
      </c>
      <c r="D138" s="14" t="s">
        <v>12</v>
      </c>
      <c r="E138" s="12">
        <v>50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Fixup</vt:lpstr>
      <vt:lpstr>Prio</vt:lpstr>
      <vt:lpstr>Misname</vt:lpstr>
      <vt:lpstr>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Low</dc:creator>
  <cp:lastModifiedBy>Garrett Low</cp:lastModifiedBy>
  <dcterms:created xsi:type="dcterms:W3CDTF">2026-07-27T05:01:32Z</dcterms:created>
  <dcterms:modified xsi:type="dcterms:W3CDTF">2026-07-28T14:19:17Z</dcterms:modified>
</cp:coreProperties>
</file>