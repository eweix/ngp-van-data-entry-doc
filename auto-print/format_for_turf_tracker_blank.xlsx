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low/sourcecode/github-personal/ngp-van-data-entry-doc/auto-print/"/>
    </mc:Choice>
  </mc:AlternateContent>
  <xr:revisionPtr revIDLastSave="0" documentId="13_ncr:1_{5E26BC26-D18E-AD42-B6C7-997D422A4F02}" xr6:coauthVersionLast="47" xr6:coauthVersionMax="47" xr10:uidLastSave="{00000000-0000-0000-0000-000000000000}"/>
  <bookViews>
    <workbookView xWindow="3920" yWindow="1800" windowWidth="52760" windowHeight="28700" xr2:uid="{DA986697-404D-AD4E-9614-1C1B5DD93203}"/>
  </bookViews>
  <sheets>
    <sheet name="Fixup" sheetId="3" r:id="rId1"/>
    <sheet name="Prio" sheetId="6" r:id="rId2"/>
    <sheet name="Misname" sheetId="4" r:id="rId3"/>
    <sheet name="Sort" sheetId="7" r:id="rId4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3" i="3" l="1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H4" i="3"/>
  <c r="H5" i="3"/>
  <c r="H6" i="3"/>
  <c r="J6" i="3" s="1"/>
  <c r="I6" i="3" s="1"/>
  <c r="H7" i="3"/>
  <c r="J7" i="3" s="1"/>
  <c r="I7" i="3" s="1"/>
  <c r="H8" i="3"/>
  <c r="H9" i="3"/>
  <c r="J9" i="3" s="1"/>
  <c r="I9" i="3" s="1"/>
  <c r="H10" i="3"/>
  <c r="H11" i="3"/>
  <c r="H12" i="3"/>
  <c r="H13" i="3"/>
  <c r="H14" i="3"/>
  <c r="H15" i="3"/>
  <c r="H16" i="3"/>
  <c r="H17" i="3"/>
  <c r="H3" i="3"/>
  <c r="J3" i="3" s="1"/>
  <c r="I3" i="3" s="1"/>
  <c r="K4" i="3"/>
  <c r="L4" i="3"/>
  <c r="K5" i="3"/>
  <c r="L5" i="3"/>
  <c r="K6" i="3"/>
  <c r="L6" i="3"/>
  <c r="K7" i="3"/>
  <c r="L7" i="3"/>
  <c r="K8" i="3"/>
  <c r="L8" i="3"/>
  <c r="K9" i="3"/>
  <c r="L9" i="3"/>
  <c r="K10" i="3"/>
  <c r="L10" i="3"/>
  <c r="K11" i="3"/>
  <c r="L11" i="3"/>
  <c r="K12" i="3"/>
  <c r="L12" i="3"/>
  <c r="K13" i="3"/>
  <c r="L13" i="3"/>
  <c r="K14" i="3"/>
  <c r="L14" i="3"/>
  <c r="K15" i="3"/>
  <c r="L15" i="3"/>
  <c r="K16" i="3"/>
  <c r="L16" i="3"/>
  <c r="K17" i="3"/>
  <c r="L17" i="3"/>
  <c r="L3" i="3"/>
  <c r="K3" i="3"/>
  <c r="J14" i="3" l="1"/>
  <c r="I14" i="3" s="1"/>
  <c r="J10" i="3"/>
  <c r="I10" i="3" s="1"/>
  <c r="J8" i="3"/>
  <c r="I8" i="3" s="1"/>
  <c r="J17" i="3"/>
  <c r="I17" i="3" s="1"/>
  <c r="J5" i="3"/>
  <c r="I5" i="3" s="1"/>
  <c r="J16" i="3"/>
  <c r="I16" i="3" s="1"/>
  <c r="J4" i="3"/>
  <c r="J15" i="3"/>
  <c r="I15" i="3" s="1"/>
  <c r="J13" i="3"/>
  <c r="I13" i="3" s="1"/>
  <c r="J12" i="3"/>
  <c r="I12" i="3" s="1"/>
  <c r="J11" i="3"/>
  <c r="I11" i="3" s="1"/>
  <c r="N14" i="3"/>
  <c r="N9" i="3"/>
  <c r="C7" i="6" l="1"/>
  <c r="C10" i="6"/>
  <c r="C4" i="6"/>
  <c r="C2" i="6"/>
  <c r="C5" i="6"/>
  <c r="C3" i="6"/>
  <c r="C9" i="6"/>
  <c r="C8" i="6"/>
  <c r="I4" i="3"/>
  <c r="C6" i="6"/>
  <c r="N13" i="3"/>
  <c r="N17" i="3"/>
  <c r="N6" i="3"/>
  <c r="N4" i="3"/>
  <c r="N8" i="3"/>
  <c r="N16" i="3"/>
  <c r="N5" i="3"/>
  <c r="N10" i="3"/>
  <c r="N3" i="3"/>
  <c r="N12" i="3"/>
  <c r="N11" i="3"/>
  <c r="N7" i="3"/>
  <c r="N15" i="3"/>
</calcChain>
</file>

<file path=xl/sharedStrings.xml><?xml version="1.0" encoding="utf-8"?>
<sst xmlns="http://schemas.openxmlformats.org/spreadsheetml/2006/main" count="34" uniqueCount="24">
  <si>
    <t>civil_district_name</t>
  </si>
  <si>
    <t>civil_district_type</t>
  </si>
  <si>
    <t>ward_number</t>
  </si>
  <si>
    <t>list_number</t>
  </si>
  <si>
    <t>turf_number</t>
  </si>
  <si>
    <t>door_count</t>
  </si>
  <si>
    <t>StevensPoint</t>
  </si>
  <si>
    <t>ParkRidge</t>
  </si>
  <si>
    <t>StevensPt</t>
  </si>
  <si>
    <t>misname_rename</t>
  </si>
  <si>
    <t>Canonical</t>
  </si>
  <si>
    <t>Stevens Point</t>
  </si>
  <si>
    <t>Park Ridge</t>
  </si>
  <si>
    <t>Misname</t>
  </si>
  <si>
    <t>ward_from_turf</t>
  </si>
  <si>
    <t>turf_count</t>
  </si>
  <si>
    <t>ward_name</t>
  </si>
  <si>
    <t>priority</t>
  </si>
  <si>
    <t>region_name_raw</t>
  </si>
  <si>
    <t>duplicate_finder</t>
  </si>
  <si>
    <t>Paste CSV here</t>
  </si>
  <si>
    <t>Use Misname tab</t>
  </si>
  <si>
    <t>Final output here (copy/paste to Sort for sorting)</t>
  </si>
  <si>
    <t>Find duplicates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</si>
</sst>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theme="8"/>
      </patternFill>
    </fill>
  </fills>
  <borders count="5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 style="thin">
        <color rgb="FF196B24"/>
      </left>
      <right/>
      <top style="thin">
        <color rgb="FF196B24"/>
      </top>
      <bottom/>
      <diagonal/>
    </border>
    <border>
      <left/>
      <right/>
      <top style="thin">
        <color rgb="FF196B24"/>
      </top>
      <bottom/>
      <diagonal/>
    </border>
    <border>
      <left/>
      <right style="thin">
        <color rgb="FF196B24"/>
      </right>
      <top style="thin">
        <color rgb="FF196B2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quotePrefix="1"/>
    <xf numFmtId="0" fontId="2" fillId="0" borderId="0" xfId="0" applyFont="1"/>
    <xf numFmtId="0" fontId="4" fillId="0" borderId="1" xfId="0" applyFont="1" applyBorder="1"/>
    <xf numFmtId="0" fontId="3" fillId="0" borderId="1" xfId="0" applyFont="1" applyBorder="1"/>
    <xf numFmtId="0" fontId="3" fillId="0" borderId="0" xfId="0" applyFont="1"/>
    <xf numFmtId="0" fontId="4" fillId="0" borderId="0" xfId="0" applyFont="1"/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1" fillId="2" borderId="0" xfId="0" applyFont="1" applyFill="1"/>
    <xf numFmtId="0" fontId="6" fillId="0" borderId="0" xfId="0" applyFont="1"/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outline="0">
        <left style="thin">
          <color theme="8"/>
        </left>
        <right style="thin">
          <color theme="8"/>
        </right>
        <top style="thin">
          <color theme="8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8"/>
          <bgColor theme="8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thin">
          <color theme="1"/>
        </lef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border outline="0">
        <top style="thin">
          <color rgb="FF7F7F7F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E932A76-FA88-BD42-8519-BBE3738C6979}" name="Table5" displayName="Table5" ref="A2:G17" totalsRowShown="0" tableBorderDxfId="12">
  <autoFilter ref="A2:G17" xr:uid="{FE932A76-FA88-BD42-8519-BBE3738C6979}"/>
  <tableColumns count="7">
    <tableColumn id="7" xr3:uid="{3E2B1255-B64E-BF44-960A-B1CE96520ECE}" name="region_name_raw"/>
    <tableColumn id="1" xr3:uid="{27C60891-9647-A248-8FD4-1CA4B7E97745}" name="civil_district_name"/>
    <tableColumn id="2" xr3:uid="{67A9AEE4-A3FA-6F45-B209-34107F03ED0D}" name="civil_district_type"/>
    <tableColumn id="3" xr3:uid="{4F782440-590F-C047-9A4E-0D5D288A55D0}" name="ward_number"/>
    <tableColumn id="4" xr3:uid="{94FAE1F3-2769-D948-A285-15CD71058C9E}" name="list_number"/>
    <tableColumn id="5" xr3:uid="{4B7DCA29-9194-0445-A02B-8FCD17432345}" name="turf_number"/>
    <tableColumn id="6" xr3:uid="{D31FB5B7-AE2D-BC4F-978B-CFC93607C1CF}" name="door_count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0975CCF-9792-BD44-9119-0D9E121161F1}" name="Table6" displayName="Table6" ref="H2:H17" totalsRowShown="0" headerRowCellStyle="Normal">
  <autoFilter ref="H2:H17" xr:uid="{10975CCF-9792-BD44-9119-0D9E121161F1}"/>
  <tableColumns count="1">
    <tableColumn id="1" xr3:uid="{1DBC5718-9024-8C45-B9C1-5D5A20189353}" name="misname_rename">
      <calculatedColumnFormula>_xlfn.XLOOKUP($B3,Table24[Misname],Table24[Canonical],$B3)</calculatedColumnFormula>
    </tableColumn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46EEB7E-A7CB-C246-8ADB-5D6D5EF2C1F5}" name="Table7" displayName="Table7" ref="I2:M17" totalsRowShown="0" headerRowCellStyle="Normal">
  <autoFilter ref="I2:M17" xr:uid="{C46EEB7E-A7CB-C246-8ADB-5D6D5EF2C1F5}"/>
  <tableColumns count="5">
    <tableColumn id="1" xr3:uid="{E1D05E23-02A1-A245-8A2F-D0E5F5388CEC}" name="priority">
      <calculatedColumnFormula>_xlfn.XLOOKUP($J3,Table4[ward_name],Table4[priority])</calculatedColumnFormula>
    </tableColumn>
    <tableColumn id="9" xr3:uid="{B0B7409F-D31B-A54D-A41E-85D93D215F56}" name="ward_from_turf">
      <calculatedColumnFormula>$H3&amp;" - "&amp;$C3&amp;" - "&amp;$D3</calculatedColumnFormula>
    </tableColumn>
    <tableColumn id="2" xr3:uid="{F4109E0F-477D-A140-8387-8956E6D8C0B5}" name="list_number">
      <calculatedColumnFormula>$E3</calculatedColumnFormula>
    </tableColumn>
    <tableColumn id="3" xr3:uid="{706BEE3D-B929-C744-BAA9-C6821FF738F5}" name="turf_number">
      <calculatedColumnFormula>$F3</calculatedColumnFormula>
    </tableColumn>
    <tableColumn id="4" xr3:uid="{93CE3B59-D890-9F40-ABB8-46B8574920CC}" name="door_count">
      <calculatedColumnFormula>$G3</calculatedColumnFormula>
    </tableColumn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1734E4D-AB22-4F42-A9F8-C159264451A0}" name="Table11" displayName="Table11" ref="N2:N17" totalsRowShown="0" headerRowDxfId="11">
  <autoFilter ref="N2:N17" xr:uid="{F1734E4D-AB22-4F42-A9F8-C159264451A0}"/>
  <tableColumns count="1">
    <tableColumn id="1" xr3:uid="{712C4B04-4037-B54F-8F1F-521E80419DC8}" name="duplicate_finder">
      <calculatedColumnFormula>$J3&amp;" - "&amp;$L3</calculatedColumnFormula>
    </tableColumn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E48B355-7F11-2A46-AEB0-F8C779ACFEC4}" name="Table4" displayName="Table4" ref="A1:C10" totalsRowShown="0" tableBorderDxfId="10">
  <autoFilter ref="A1:C10" xr:uid="{1E48B355-7F11-2A46-AEB0-F8C779ACFEC4}"/>
  <tableColumns count="3">
    <tableColumn id="1" xr3:uid="{FAFA12E9-D684-1A44-B71D-28D0D8D8B988}" name="priority" dataDxfId="9"/>
    <tableColumn id="2" xr3:uid="{C555D931-BD11-AB4F-8893-9C69CC1CD277}" name="ward_name" dataDxfId="8"/>
    <tableColumn id="3" xr3:uid="{4A3DAB92-B2D3-7A48-801E-8CD888470EDD}" name="turf_count" dataDxfId="7">
      <calculatedColumnFormula>COUNTIF(Table7[ward_from_turf],$B2)</calculatedColumnFormula>
    </tableColumn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FBB29A6-220F-8A4A-96F1-FA209B57AECD}" name="Table24" displayName="Table24" ref="A1:B4" totalsRowShown="0" headerRowDxfId="6">
  <autoFilter ref="A1:B4" xr:uid="{2FBB29A6-220F-8A4A-96F1-FA209B57AECD}"/>
  <tableColumns count="2">
    <tableColumn id="1" xr3:uid="{C204E3BA-249A-C14A-A33A-DE02DB6DA618}" name="Misname"/>
    <tableColumn id="2" xr3:uid="{7D140DDB-BF1D-F14D-B7F0-55A0850EC930}" name="Canonical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3DCD3F5-9A28-DF4D-BC83-4AA20F0FB7F2}" name="Table10" displayName="Table10" ref="A1:E5" totalsRowShown="0" headerRowDxfId="5" tableBorderDxfId="4">
  <autoFilter ref="A1:E5" xr:uid="{F3DCD3F5-9A28-DF4D-BC83-4AA20F0FB7F2}"/>
  <sortState xmlns:xlrd2="http://schemas.microsoft.com/office/spreadsheetml/2017/richdata2" ref="A2:E138">
    <sortCondition ref="A1:A138"/>
  </sortState>
  <tableColumns count="5">
    <tableColumn id="1" xr3:uid="{6C187E6A-46F3-F544-97B7-B2DF6892D6F9}" name="priority"/>
    <tableColumn id="2" xr3:uid="{634BB3AA-89BA-DC40-A77C-05316953D4A3}" name="ward_from_turf"/>
    <tableColumn id="3" xr3:uid="{A33D6D01-878D-1B45-AA9B-743D8BE2BD60}" name="list_number"/>
    <tableColumn id="4" xr3:uid="{97DDD1AD-98E7-564E-A74B-A42836AC2D56}" name="turf_number"/>
    <tableColumn id="5" xr3:uid="{A02CBC94-75B7-934A-BCA2-1D1D6DE2C484}" name="door_count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A6C29-B237-2849-88FF-ED0F55FE0A0A}">
  <dimension ref="A1:N139"/>
  <sheetViews>
    <sheetView tabSelected="1" topLeftCell="A2" workbookViewId="0">
      <selection activeCell="G27" sqref="G27"/>
    </sheetView>
  </sheetViews>
  <sheetFormatPr baseColWidth="10" defaultRowHeight="16" x14ac:dyDescent="0.2"/>
  <cols>
    <col min="1" max="1" width="37.1640625" bestFit="1" customWidth="1"/>
    <col min="2" max="2" width="17.83203125" customWidth="1"/>
    <col min="3" max="3" width="14.5" customWidth="1"/>
    <col min="4" max="4" width="14.83203125" bestFit="1" customWidth="1"/>
    <col min="5" max="5" width="13.33203125" customWidth="1"/>
    <col min="6" max="6" width="12.6640625" customWidth="1"/>
    <col min="7" max="7" width="19.83203125" bestFit="1" customWidth="1"/>
    <col min="8" max="8" width="20.1640625" bestFit="1" customWidth="1"/>
    <col min="9" max="9" width="9.5" bestFit="1" customWidth="1"/>
    <col min="10" max="10" width="20.1640625" customWidth="1"/>
    <col min="11" max="11" width="14.83203125" bestFit="1" customWidth="1"/>
    <col min="12" max="12" width="13.83203125" bestFit="1" customWidth="1"/>
    <col min="13" max="13" width="12.83203125" customWidth="1"/>
    <col min="14" max="14" width="27.1640625" bestFit="1" customWidth="1"/>
  </cols>
  <sheetData>
    <row r="1" spans="1:14" x14ac:dyDescent="0.2">
      <c r="A1" t="s">
        <v>20</v>
      </c>
      <c r="H1" t="s">
        <v>21</v>
      </c>
      <c r="I1" t="s">
        <v>22</v>
      </c>
      <c r="N1" t="s">
        <v>23</v>
      </c>
    </row>
    <row r="2" spans="1:14" x14ac:dyDescent="0.2">
      <c r="A2" t="s">
        <v>18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9</v>
      </c>
      <c r="I2" t="s">
        <v>17</v>
      </c>
      <c r="J2" t="s">
        <v>14</v>
      </c>
      <c r="K2" t="s">
        <v>3</v>
      </c>
      <c r="L2" t="s">
        <v>4</v>
      </c>
      <c r="M2" t="s">
        <v>5</v>
      </c>
      <c r="N2" s="11" t="s">
        <v>19</v>
      </c>
    </row>
    <row r="3" spans="1:14" x14ac:dyDescent="0.2">
      <c r="D3" s="1"/>
      <c r="H3">
        <f>_xlfn.XLOOKUP($B3,Table24[Misname],Table24[Canonical],$B3)</f>
        <v>0</v>
      </c>
      <c r="I3" t="e">
        <f>_xlfn.XLOOKUP($J3,Table4[ward_name],Table4[priority])</f>
        <v>#N/A</v>
      </c>
      <c r="J3" t="str">
        <f t="shared" ref="J3:J34" si="0">$H3&amp;" - "&amp;$C3&amp;" - "&amp;$D3</f>
        <v xml:space="preserve">0 -  - </v>
      </c>
      <c r="K3">
        <f t="shared" ref="K3:K34" si="1">$E3</f>
        <v>0</v>
      </c>
      <c r="L3">
        <f t="shared" ref="L3:L34" si="2">$F3</f>
        <v>0</v>
      </c>
      <c r="M3">
        <f>$G3</f>
        <v>0</v>
      </c>
      <c r="N3" t="str">
        <f t="shared" ref="N3:N34" si="3">$J3&amp;" - "&amp;$L3</f>
        <v>0 -  -  - 0</v>
      </c>
    </row>
    <row r="4" spans="1:14" x14ac:dyDescent="0.2">
      <c r="D4" s="1"/>
      <c r="H4">
        <f>_xlfn.XLOOKUP($B4,Table24[Misname],Table24[Canonical],$B4)</f>
        <v>0</v>
      </c>
      <c r="I4" t="e">
        <f>_xlfn.XLOOKUP($J4,Table4[ward_name],Table4[priority])</f>
        <v>#N/A</v>
      </c>
      <c r="J4" t="str">
        <f t="shared" si="0"/>
        <v xml:space="preserve">0 -  - </v>
      </c>
      <c r="K4">
        <f t="shared" si="1"/>
        <v>0</v>
      </c>
      <c r="L4">
        <f t="shared" si="2"/>
        <v>0</v>
      </c>
      <c r="M4">
        <f t="shared" ref="M4:M67" si="4">$G4</f>
        <v>0</v>
      </c>
      <c r="N4" t="str">
        <f t="shared" si="3"/>
        <v>0 -  -  - 0</v>
      </c>
    </row>
    <row r="5" spans="1:14" x14ac:dyDescent="0.2">
      <c r="D5" s="1"/>
      <c r="H5">
        <f>_xlfn.XLOOKUP($B5,Table24[Misname],Table24[Canonical],$B5)</f>
        <v>0</v>
      </c>
      <c r="I5" t="e">
        <f>_xlfn.XLOOKUP($J5,Table4[ward_name],Table4[priority])</f>
        <v>#N/A</v>
      </c>
      <c r="J5" t="str">
        <f t="shared" si="0"/>
        <v xml:space="preserve">0 -  - </v>
      </c>
      <c r="K5">
        <f t="shared" si="1"/>
        <v>0</v>
      </c>
      <c r="L5">
        <f t="shared" si="2"/>
        <v>0</v>
      </c>
      <c r="M5">
        <f t="shared" si="4"/>
        <v>0</v>
      </c>
      <c r="N5" t="str">
        <f t="shared" si="3"/>
        <v>0 -  -  - 0</v>
      </c>
    </row>
    <row r="6" spans="1:14" x14ac:dyDescent="0.2">
      <c r="D6" s="1"/>
      <c r="H6">
        <f>_xlfn.XLOOKUP($B6,Table24[Misname],Table24[Canonical],$B6)</f>
        <v>0</v>
      </c>
      <c r="I6" t="e">
        <f>_xlfn.XLOOKUP($J6,Table4[ward_name],Table4[priority])</f>
        <v>#N/A</v>
      </c>
      <c r="J6" t="str">
        <f t="shared" si="0"/>
        <v xml:space="preserve">0 -  - </v>
      </c>
      <c r="K6">
        <f t="shared" si="1"/>
        <v>0</v>
      </c>
      <c r="L6">
        <f t="shared" si="2"/>
        <v>0</v>
      </c>
      <c r="M6">
        <f t="shared" si="4"/>
        <v>0</v>
      </c>
      <c r="N6" t="str">
        <f t="shared" si="3"/>
        <v>0 -  -  - 0</v>
      </c>
    </row>
    <row r="7" spans="1:14" x14ac:dyDescent="0.2">
      <c r="D7" s="1"/>
      <c r="H7">
        <f>_xlfn.XLOOKUP($B7,Table24[Misname],Table24[Canonical],$B7)</f>
        <v>0</v>
      </c>
      <c r="I7" t="e">
        <f>_xlfn.XLOOKUP($J7,Table4[ward_name],Table4[priority])</f>
        <v>#N/A</v>
      </c>
      <c r="J7" t="str">
        <f t="shared" si="0"/>
        <v xml:space="preserve">0 -  - </v>
      </c>
      <c r="K7">
        <f t="shared" si="1"/>
        <v>0</v>
      </c>
      <c r="L7">
        <f t="shared" si="2"/>
        <v>0</v>
      </c>
      <c r="M7">
        <f t="shared" si="4"/>
        <v>0</v>
      </c>
      <c r="N7" t="str">
        <f t="shared" si="3"/>
        <v>0 -  -  - 0</v>
      </c>
    </row>
    <row r="8" spans="1:14" x14ac:dyDescent="0.2">
      <c r="D8" s="1"/>
      <c r="H8">
        <f>_xlfn.XLOOKUP($B8,Table24[Misname],Table24[Canonical],$B8)</f>
        <v>0</v>
      </c>
      <c r="I8" t="e">
        <f>_xlfn.XLOOKUP($J8,Table4[ward_name],Table4[priority])</f>
        <v>#N/A</v>
      </c>
      <c r="J8" t="str">
        <f t="shared" si="0"/>
        <v xml:space="preserve">0 -  - </v>
      </c>
      <c r="K8">
        <f t="shared" si="1"/>
        <v>0</v>
      </c>
      <c r="L8">
        <f t="shared" si="2"/>
        <v>0</v>
      </c>
      <c r="M8">
        <f t="shared" si="4"/>
        <v>0</v>
      </c>
      <c r="N8" t="str">
        <f t="shared" si="3"/>
        <v>0 -  -  - 0</v>
      </c>
    </row>
    <row r="9" spans="1:14" x14ac:dyDescent="0.2">
      <c r="D9" s="1"/>
      <c r="H9">
        <f>_xlfn.XLOOKUP($B9,Table24[Misname],Table24[Canonical],$B9)</f>
        <v>0</v>
      </c>
      <c r="I9" t="e">
        <f>_xlfn.XLOOKUP($J9,Table4[ward_name],Table4[priority])</f>
        <v>#N/A</v>
      </c>
      <c r="J9" t="str">
        <f t="shared" si="0"/>
        <v xml:space="preserve">0 -  - </v>
      </c>
      <c r="K9">
        <f t="shared" si="1"/>
        <v>0</v>
      </c>
      <c r="L9">
        <f t="shared" si="2"/>
        <v>0</v>
      </c>
      <c r="M9">
        <f t="shared" si="4"/>
        <v>0</v>
      </c>
      <c r="N9" t="str">
        <f t="shared" si="3"/>
        <v>0 -  -  - 0</v>
      </c>
    </row>
    <row r="10" spans="1:14" x14ac:dyDescent="0.2">
      <c r="D10" s="1"/>
      <c r="H10">
        <f>_xlfn.XLOOKUP($B10,Table24[Misname],Table24[Canonical],$B10)</f>
        <v>0</v>
      </c>
      <c r="I10" t="e">
        <f>_xlfn.XLOOKUP($J10,Table4[ward_name],Table4[priority])</f>
        <v>#N/A</v>
      </c>
      <c r="J10" t="str">
        <f t="shared" si="0"/>
        <v xml:space="preserve">0 -  - </v>
      </c>
      <c r="K10">
        <f t="shared" si="1"/>
        <v>0</v>
      </c>
      <c r="L10">
        <f t="shared" si="2"/>
        <v>0</v>
      </c>
      <c r="M10">
        <f t="shared" si="4"/>
        <v>0</v>
      </c>
      <c r="N10" t="str">
        <f t="shared" si="3"/>
        <v>0 -  -  - 0</v>
      </c>
    </row>
    <row r="11" spans="1:14" x14ac:dyDescent="0.2">
      <c r="D11" s="1"/>
      <c r="H11">
        <f>_xlfn.XLOOKUP($B11,Table24[Misname],Table24[Canonical],$B11)</f>
        <v>0</v>
      </c>
      <c r="I11" t="e">
        <f>_xlfn.XLOOKUP($J11,Table4[ward_name],Table4[priority])</f>
        <v>#N/A</v>
      </c>
      <c r="J11" t="str">
        <f t="shared" si="0"/>
        <v xml:space="preserve">0 -  - </v>
      </c>
      <c r="K11">
        <f t="shared" si="1"/>
        <v>0</v>
      </c>
      <c r="L11">
        <f t="shared" si="2"/>
        <v>0</v>
      </c>
      <c r="M11">
        <f t="shared" si="4"/>
        <v>0</v>
      </c>
      <c r="N11" t="str">
        <f t="shared" si="3"/>
        <v>0 -  -  - 0</v>
      </c>
    </row>
    <row r="12" spans="1:14" x14ac:dyDescent="0.2">
      <c r="D12" s="1"/>
      <c r="H12">
        <f>_xlfn.XLOOKUP($B12,Table24[Misname],Table24[Canonical],$B12)</f>
        <v>0</v>
      </c>
      <c r="I12" t="e">
        <f>_xlfn.XLOOKUP($J12,Table4[ward_name],Table4[priority])</f>
        <v>#N/A</v>
      </c>
      <c r="J12" t="str">
        <f t="shared" si="0"/>
        <v xml:space="preserve">0 -  - </v>
      </c>
      <c r="K12">
        <f t="shared" si="1"/>
        <v>0</v>
      </c>
      <c r="L12">
        <f t="shared" si="2"/>
        <v>0</v>
      </c>
      <c r="M12">
        <f t="shared" si="4"/>
        <v>0</v>
      </c>
      <c r="N12" t="str">
        <f t="shared" si="3"/>
        <v>0 -  -  - 0</v>
      </c>
    </row>
    <row r="13" spans="1:14" x14ac:dyDescent="0.2">
      <c r="D13" s="1"/>
      <c r="H13">
        <f>_xlfn.XLOOKUP($B13,Table24[Misname],Table24[Canonical],$B13)</f>
        <v>0</v>
      </c>
      <c r="I13" t="e">
        <f>_xlfn.XLOOKUP($J13,Table4[ward_name],Table4[priority])</f>
        <v>#N/A</v>
      </c>
      <c r="J13" t="str">
        <f t="shared" si="0"/>
        <v xml:space="preserve">0 -  - </v>
      </c>
      <c r="K13">
        <f t="shared" si="1"/>
        <v>0</v>
      </c>
      <c r="L13">
        <f t="shared" si="2"/>
        <v>0</v>
      </c>
      <c r="M13">
        <f t="shared" si="4"/>
        <v>0</v>
      </c>
      <c r="N13" t="str">
        <f t="shared" si="3"/>
        <v>0 -  -  - 0</v>
      </c>
    </row>
    <row r="14" spans="1:14" x14ac:dyDescent="0.2">
      <c r="D14" s="1"/>
      <c r="H14">
        <f>_xlfn.XLOOKUP($B14,Table24[Misname],Table24[Canonical],$B14)</f>
        <v>0</v>
      </c>
      <c r="I14" t="e">
        <f>_xlfn.XLOOKUP($J14,Table4[ward_name],Table4[priority])</f>
        <v>#N/A</v>
      </c>
      <c r="J14" t="str">
        <f t="shared" si="0"/>
        <v xml:space="preserve">0 -  - </v>
      </c>
      <c r="K14">
        <f t="shared" si="1"/>
        <v>0</v>
      </c>
      <c r="L14">
        <f t="shared" si="2"/>
        <v>0</v>
      </c>
      <c r="M14">
        <f t="shared" si="4"/>
        <v>0</v>
      </c>
      <c r="N14" t="str">
        <f t="shared" si="3"/>
        <v>0 -  -  - 0</v>
      </c>
    </row>
    <row r="15" spans="1:14" x14ac:dyDescent="0.2">
      <c r="D15" s="1"/>
      <c r="H15">
        <f>_xlfn.XLOOKUP($B15,Table24[Misname],Table24[Canonical],$B15)</f>
        <v>0</v>
      </c>
      <c r="I15" t="e">
        <f>_xlfn.XLOOKUP($J15,Table4[ward_name],Table4[priority])</f>
        <v>#N/A</v>
      </c>
      <c r="J15" t="str">
        <f t="shared" si="0"/>
        <v xml:space="preserve">0 -  - </v>
      </c>
      <c r="K15">
        <f t="shared" si="1"/>
        <v>0</v>
      </c>
      <c r="L15">
        <f t="shared" si="2"/>
        <v>0</v>
      </c>
      <c r="M15">
        <f t="shared" si="4"/>
        <v>0</v>
      </c>
      <c r="N15" t="str">
        <f t="shared" si="3"/>
        <v>0 -  -  - 0</v>
      </c>
    </row>
    <row r="16" spans="1:14" x14ac:dyDescent="0.2">
      <c r="D16" s="1"/>
      <c r="H16">
        <f>_xlfn.XLOOKUP($B16,Table24[Misname],Table24[Canonical],$B16)</f>
        <v>0</v>
      </c>
      <c r="I16" t="e">
        <f>_xlfn.XLOOKUP($J16,Table4[ward_name],Table4[priority])</f>
        <v>#N/A</v>
      </c>
      <c r="J16" t="str">
        <f t="shared" si="0"/>
        <v xml:space="preserve">0 -  - </v>
      </c>
      <c r="K16">
        <f t="shared" si="1"/>
        <v>0</v>
      </c>
      <c r="L16">
        <f t="shared" si="2"/>
        <v>0</v>
      </c>
      <c r="M16">
        <f t="shared" si="4"/>
        <v>0</v>
      </c>
      <c r="N16" t="str">
        <f t="shared" si="3"/>
        <v>0 -  -  - 0</v>
      </c>
    </row>
    <row r="17" spans="4:14" x14ac:dyDescent="0.2">
      <c r="D17" s="1"/>
      <c r="H17">
        <f>_xlfn.XLOOKUP($B17,Table24[Misname],Table24[Canonical],$B17)</f>
        <v>0</v>
      </c>
      <c r="I17" t="e">
        <f>_xlfn.XLOOKUP($J17,Table4[ward_name],Table4[priority])</f>
        <v>#N/A</v>
      </c>
      <c r="J17" t="str">
        <f t="shared" si="0"/>
        <v xml:space="preserve">0 -  - </v>
      </c>
      <c r="K17">
        <f t="shared" si="1"/>
        <v>0</v>
      </c>
      <c r="L17">
        <f t="shared" si="2"/>
        <v>0</v>
      </c>
      <c r="M17">
        <f t="shared" si="4"/>
        <v>0</v>
      </c>
      <c r="N17" t="str">
        <f t="shared" si="3"/>
        <v>0 -  -  - 0</v>
      </c>
    </row>
    <row r="18" spans="4:14" x14ac:dyDescent="0.2">
      <c r="D18" s="1"/>
    </row>
    <row r="19" spans="4:14" x14ac:dyDescent="0.2">
      <c r="D19" s="1"/>
    </row>
    <row r="20" spans="4:14" x14ac:dyDescent="0.2">
      <c r="D20" s="1"/>
    </row>
    <row r="21" spans="4:14" x14ac:dyDescent="0.2">
      <c r="D21" s="1"/>
    </row>
    <row r="22" spans="4:14" x14ac:dyDescent="0.2">
      <c r="D22" s="1"/>
    </row>
    <row r="23" spans="4:14" x14ac:dyDescent="0.2">
      <c r="D23" s="1"/>
    </row>
    <row r="24" spans="4:14" x14ac:dyDescent="0.2">
      <c r="D24" s="1"/>
    </row>
    <row r="25" spans="4:14" x14ac:dyDescent="0.2">
      <c r="D25" s="1"/>
    </row>
    <row r="26" spans="4:14" x14ac:dyDescent="0.2">
      <c r="D26" s="1"/>
    </row>
    <row r="27" spans="4:14" x14ac:dyDescent="0.2">
      <c r="D27" s="1"/>
    </row>
    <row r="28" spans="4:14" x14ac:dyDescent="0.2">
      <c r="D28" s="1"/>
    </row>
    <row r="29" spans="4:14" x14ac:dyDescent="0.2">
      <c r="D29" s="1"/>
    </row>
    <row r="30" spans="4:14" x14ac:dyDescent="0.2">
      <c r="D30" s="1"/>
    </row>
    <row r="31" spans="4:14" x14ac:dyDescent="0.2">
      <c r="D31" s="1"/>
    </row>
    <row r="32" spans="4:14" x14ac:dyDescent="0.2">
      <c r="D32" s="1"/>
    </row>
    <row r="33" spans="4:4" x14ac:dyDescent="0.2">
      <c r="D33" s="1"/>
    </row>
    <row r="34" spans="4:4" x14ac:dyDescent="0.2">
      <c r="D34" s="1"/>
    </row>
    <row r="35" spans="4:4" x14ac:dyDescent="0.2">
      <c r="D35" s="1"/>
    </row>
    <row r="36" spans="4:4" x14ac:dyDescent="0.2">
      <c r="D36" s="1"/>
    </row>
    <row r="37" spans="4:4" x14ac:dyDescent="0.2">
      <c r="D37" s="1"/>
    </row>
    <row r="38" spans="4:4" x14ac:dyDescent="0.2">
      <c r="D38" s="1"/>
    </row>
    <row r="39" spans="4:4" x14ac:dyDescent="0.2">
      <c r="D39" s="1"/>
    </row>
    <row r="40" spans="4:4" x14ac:dyDescent="0.2">
      <c r="D40" s="1"/>
    </row>
    <row r="41" spans="4:4" x14ac:dyDescent="0.2">
      <c r="D41" s="1"/>
    </row>
    <row r="42" spans="4:4" x14ac:dyDescent="0.2">
      <c r="D42" s="1"/>
    </row>
    <row r="43" spans="4:4" x14ac:dyDescent="0.2">
      <c r="D43" s="1"/>
    </row>
    <row r="44" spans="4:4" x14ac:dyDescent="0.2">
      <c r="D44" s="1"/>
    </row>
    <row r="45" spans="4:4" x14ac:dyDescent="0.2">
      <c r="D45" s="1"/>
    </row>
    <row r="46" spans="4:4" x14ac:dyDescent="0.2">
      <c r="D46" s="1"/>
    </row>
    <row r="47" spans="4:4" x14ac:dyDescent="0.2">
      <c r="D47" s="1"/>
    </row>
    <row r="48" spans="4:4" x14ac:dyDescent="0.2">
      <c r="D48" s="1"/>
    </row>
    <row r="49" spans="4:4" x14ac:dyDescent="0.2">
      <c r="D49" s="1"/>
    </row>
    <row r="50" spans="4:4" x14ac:dyDescent="0.2">
      <c r="D50" s="1"/>
    </row>
    <row r="51" spans="4:4" x14ac:dyDescent="0.2">
      <c r="D51" s="1"/>
    </row>
    <row r="52" spans="4:4" x14ac:dyDescent="0.2">
      <c r="D52" s="1"/>
    </row>
    <row r="53" spans="4:4" x14ac:dyDescent="0.2">
      <c r="D53" s="1"/>
    </row>
    <row r="54" spans="4:4" x14ac:dyDescent="0.2">
      <c r="D54" s="1"/>
    </row>
    <row r="55" spans="4:4" x14ac:dyDescent="0.2">
      <c r="D55" s="1"/>
    </row>
    <row r="56" spans="4:4" x14ac:dyDescent="0.2">
      <c r="D56" s="1"/>
    </row>
    <row r="57" spans="4:4" x14ac:dyDescent="0.2">
      <c r="D57" s="1"/>
    </row>
    <row r="58" spans="4:4" x14ac:dyDescent="0.2">
      <c r="D58" s="1"/>
    </row>
    <row r="59" spans="4:4" x14ac:dyDescent="0.2">
      <c r="D59" s="1"/>
    </row>
    <row r="60" spans="4:4" x14ac:dyDescent="0.2">
      <c r="D60" s="1"/>
    </row>
    <row r="61" spans="4:4" x14ac:dyDescent="0.2">
      <c r="D61" s="1"/>
    </row>
    <row r="62" spans="4:4" x14ac:dyDescent="0.2">
      <c r="D62" s="1"/>
    </row>
    <row r="63" spans="4:4" x14ac:dyDescent="0.2">
      <c r="D63" s="1"/>
    </row>
    <row r="64" spans="4:4" x14ac:dyDescent="0.2">
      <c r="D64" s="1"/>
    </row>
    <row r="65" spans="4:4" x14ac:dyDescent="0.2">
      <c r="D65" s="1"/>
    </row>
    <row r="66" spans="4:4" x14ac:dyDescent="0.2">
      <c r="D66" s="1"/>
    </row>
    <row r="67" spans="4:4" x14ac:dyDescent="0.2">
      <c r="D67" s="1"/>
    </row>
    <row r="68" spans="4:4" x14ac:dyDescent="0.2">
      <c r="D68" s="1"/>
    </row>
    <row r="69" spans="4:4" x14ac:dyDescent="0.2">
      <c r="D69" s="1"/>
    </row>
    <row r="70" spans="4:4" x14ac:dyDescent="0.2">
      <c r="D70" s="1"/>
    </row>
    <row r="71" spans="4:4" x14ac:dyDescent="0.2">
      <c r="D71" s="1"/>
    </row>
    <row r="72" spans="4:4" x14ac:dyDescent="0.2">
      <c r="D72" s="1"/>
    </row>
    <row r="73" spans="4:4" x14ac:dyDescent="0.2">
      <c r="D73" s="1"/>
    </row>
    <row r="74" spans="4:4" x14ac:dyDescent="0.2">
      <c r="D74" s="1"/>
    </row>
    <row r="75" spans="4:4" x14ac:dyDescent="0.2">
      <c r="D75" s="1"/>
    </row>
    <row r="76" spans="4:4" x14ac:dyDescent="0.2">
      <c r="D76" s="1"/>
    </row>
    <row r="77" spans="4:4" x14ac:dyDescent="0.2">
      <c r="D77" s="1"/>
    </row>
    <row r="78" spans="4:4" x14ac:dyDescent="0.2">
      <c r="D78" s="1"/>
    </row>
    <row r="79" spans="4:4" x14ac:dyDescent="0.2">
      <c r="D79" s="1"/>
    </row>
    <row r="80" spans="4:4" x14ac:dyDescent="0.2">
      <c r="D80" s="1"/>
    </row>
    <row r="81" spans="4:4" x14ac:dyDescent="0.2">
      <c r="D81" s="1"/>
    </row>
    <row r="82" spans="4:4" x14ac:dyDescent="0.2">
      <c r="D82" s="1"/>
    </row>
    <row r="83" spans="4:4" x14ac:dyDescent="0.2">
      <c r="D83" s="1"/>
    </row>
    <row r="84" spans="4:4" x14ac:dyDescent="0.2">
      <c r="D84" s="1"/>
    </row>
    <row r="85" spans="4:4" x14ac:dyDescent="0.2">
      <c r="D85" s="1"/>
    </row>
    <row r="86" spans="4:4" x14ac:dyDescent="0.2">
      <c r="D86" s="1"/>
    </row>
    <row r="87" spans="4:4" x14ac:dyDescent="0.2">
      <c r="D87" s="1"/>
    </row>
    <row r="88" spans="4:4" x14ac:dyDescent="0.2">
      <c r="D88" s="1"/>
    </row>
    <row r="89" spans="4:4" x14ac:dyDescent="0.2">
      <c r="D89" s="1"/>
    </row>
    <row r="90" spans="4:4" x14ac:dyDescent="0.2">
      <c r="D90" s="1"/>
    </row>
    <row r="91" spans="4:4" x14ac:dyDescent="0.2">
      <c r="D91" s="1"/>
    </row>
    <row r="92" spans="4:4" x14ac:dyDescent="0.2">
      <c r="D92" s="1"/>
    </row>
    <row r="93" spans="4:4" x14ac:dyDescent="0.2">
      <c r="D93" s="1"/>
    </row>
    <row r="94" spans="4:4" x14ac:dyDescent="0.2">
      <c r="D94" s="1"/>
    </row>
    <row r="95" spans="4:4" x14ac:dyDescent="0.2">
      <c r="D95" s="1"/>
    </row>
    <row r="96" spans="4:4" x14ac:dyDescent="0.2">
      <c r="D96" s="1"/>
    </row>
    <row r="97" spans="4:4" x14ac:dyDescent="0.2">
      <c r="D97" s="1"/>
    </row>
    <row r="98" spans="4:4" x14ac:dyDescent="0.2">
      <c r="D98" s="1"/>
    </row>
    <row r="99" spans="4:4" x14ac:dyDescent="0.2">
      <c r="D99" s="1"/>
    </row>
    <row r="100" spans="4:4" x14ac:dyDescent="0.2">
      <c r="D100" s="1"/>
    </row>
    <row r="101" spans="4:4" x14ac:dyDescent="0.2">
      <c r="D101" s="1"/>
    </row>
    <row r="102" spans="4:4" x14ac:dyDescent="0.2">
      <c r="D102" s="1"/>
    </row>
    <row r="103" spans="4:4" x14ac:dyDescent="0.2">
      <c r="D103" s="1"/>
    </row>
    <row r="104" spans="4:4" x14ac:dyDescent="0.2">
      <c r="D104" s="1"/>
    </row>
    <row r="105" spans="4:4" x14ac:dyDescent="0.2">
      <c r="D105" s="1"/>
    </row>
    <row r="106" spans="4:4" x14ac:dyDescent="0.2">
      <c r="D106" s="1"/>
    </row>
    <row r="107" spans="4:4" x14ac:dyDescent="0.2">
      <c r="D107" s="1"/>
    </row>
    <row r="108" spans="4:4" x14ac:dyDescent="0.2">
      <c r="D108" s="1"/>
    </row>
    <row r="109" spans="4:4" x14ac:dyDescent="0.2">
      <c r="D109" s="1"/>
    </row>
    <row r="110" spans="4:4" x14ac:dyDescent="0.2">
      <c r="D110" s="1"/>
    </row>
    <row r="111" spans="4:4" x14ac:dyDescent="0.2">
      <c r="D111" s="1"/>
    </row>
    <row r="112" spans="4:4" x14ac:dyDescent="0.2">
      <c r="D112" s="1"/>
    </row>
    <row r="113" spans="4:4" x14ac:dyDescent="0.2">
      <c r="D113" s="1"/>
    </row>
    <row r="114" spans="4:4" x14ac:dyDescent="0.2">
      <c r="D114" s="1"/>
    </row>
    <row r="115" spans="4:4" x14ac:dyDescent="0.2">
      <c r="D115" s="1"/>
    </row>
    <row r="116" spans="4:4" x14ac:dyDescent="0.2">
      <c r="D116" s="1"/>
    </row>
    <row r="117" spans="4:4" x14ac:dyDescent="0.2">
      <c r="D117" s="1"/>
    </row>
    <row r="118" spans="4:4" x14ac:dyDescent="0.2">
      <c r="D118" s="1"/>
    </row>
    <row r="119" spans="4:4" x14ac:dyDescent="0.2">
      <c r="D119" s="1"/>
    </row>
    <row r="120" spans="4:4" x14ac:dyDescent="0.2">
      <c r="D120" s="1"/>
    </row>
    <row r="121" spans="4:4" x14ac:dyDescent="0.2">
      <c r="D121" s="1"/>
    </row>
    <row r="122" spans="4:4" x14ac:dyDescent="0.2">
      <c r="D122" s="1"/>
    </row>
    <row r="123" spans="4:4" x14ac:dyDescent="0.2">
      <c r="D123" s="1"/>
    </row>
    <row r="124" spans="4:4" x14ac:dyDescent="0.2">
      <c r="D124" s="1"/>
    </row>
    <row r="125" spans="4:4" x14ac:dyDescent="0.2">
      <c r="D125" s="1"/>
    </row>
    <row r="126" spans="4:4" x14ac:dyDescent="0.2">
      <c r="D126" s="1"/>
    </row>
    <row r="127" spans="4:4" x14ac:dyDescent="0.2">
      <c r="D127" s="1"/>
    </row>
    <row r="128" spans="4:4" x14ac:dyDescent="0.2">
      <c r="D128" s="1"/>
    </row>
    <row r="129" spans="4:4" x14ac:dyDescent="0.2">
      <c r="D129" s="1"/>
    </row>
    <row r="130" spans="4:4" x14ac:dyDescent="0.2">
      <c r="D130" s="1"/>
    </row>
    <row r="131" spans="4:4" x14ac:dyDescent="0.2">
      <c r="D131" s="1"/>
    </row>
    <row r="132" spans="4:4" x14ac:dyDescent="0.2">
      <c r="D132" s="1"/>
    </row>
    <row r="133" spans="4:4" x14ac:dyDescent="0.2">
      <c r="D133" s="1"/>
    </row>
    <row r="134" spans="4:4" x14ac:dyDescent="0.2">
      <c r="D134" s="1"/>
    </row>
    <row r="135" spans="4:4" x14ac:dyDescent="0.2">
      <c r="D135" s="1"/>
    </row>
    <row r="136" spans="4:4" x14ac:dyDescent="0.2">
      <c r="D136" s="1"/>
    </row>
    <row r="137" spans="4:4" x14ac:dyDescent="0.2">
      <c r="D137" s="1"/>
    </row>
    <row r="138" spans="4:4" x14ac:dyDescent="0.2">
      <c r="D138" s="1"/>
    </row>
    <row r="139" spans="4:4" x14ac:dyDescent="0.2">
      <c r="D139" s="1"/>
    </row>
  </sheetData>
  <conditionalFormatting sqref="N3:N17">
    <cfRule type="duplicateValues" dxfId="3" priority="1"/>
  </conditionalFormatting>
  <pageMargins left="0.7" right="0.7" top="0.75" bottom="0.75" header="0.3" footer="0.3"/>
  <pageSetup orientation="portrait" horizontalDpi="0" verticalDpi="0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A522D-F8FD-9A4B-B764-BDE6ABBC83FD}">
  <dimension ref="A1:C10"/>
  <sheetViews>
    <sheetView workbookViewId="0">
      <selection activeCell="J36" sqref="J36:J37"/>
    </sheetView>
  </sheetViews>
  <sheetFormatPr baseColWidth="10" defaultRowHeight="16" x14ac:dyDescent="0.2"/>
  <cols>
    <col min="2" max="2" width="18.83203125" bestFit="1" customWidth="1"/>
  </cols>
  <sheetData>
    <row r="1" spans="1:3" x14ac:dyDescent="0.2">
      <c r="A1" s="5" t="s">
        <v>17</v>
      </c>
      <c r="B1" s="6" t="s">
        <v>16</v>
      </c>
      <c r="C1" t="s">
        <v>15</v>
      </c>
    </row>
    <row r="2" spans="1:3" x14ac:dyDescent="0.2">
      <c r="A2" s="4"/>
      <c r="B2" s="3"/>
      <c r="C2">
        <f>COUNTIF(Table7[ward_from_turf],$B2)</f>
        <v>0</v>
      </c>
    </row>
    <row r="3" spans="1:3" x14ac:dyDescent="0.2">
      <c r="A3" s="4"/>
      <c r="B3" s="3"/>
      <c r="C3">
        <f>COUNTIF(Table7[ward_from_turf],$B3)</f>
        <v>0</v>
      </c>
    </row>
    <row r="4" spans="1:3" x14ac:dyDescent="0.2">
      <c r="A4" s="4"/>
      <c r="B4" s="3"/>
      <c r="C4">
        <f>COUNTIF(Table7[ward_from_turf],$B4)</f>
        <v>0</v>
      </c>
    </row>
    <row r="5" spans="1:3" x14ac:dyDescent="0.2">
      <c r="A5" s="4"/>
      <c r="B5" s="3"/>
      <c r="C5">
        <f>COUNTIF(Table7[ward_from_turf],$B5)</f>
        <v>0</v>
      </c>
    </row>
    <row r="6" spans="1:3" x14ac:dyDescent="0.2">
      <c r="A6" s="4"/>
      <c r="B6" s="3"/>
      <c r="C6">
        <f>COUNTIF(Table7[ward_from_turf],$B6)</f>
        <v>0</v>
      </c>
    </row>
    <row r="7" spans="1:3" x14ac:dyDescent="0.2">
      <c r="A7" s="4"/>
      <c r="B7" s="3"/>
      <c r="C7">
        <f>COUNTIF(Table7[ward_from_turf],$B7)</f>
        <v>0</v>
      </c>
    </row>
    <row r="8" spans="1:3" x14ac:dyDescent="0.2">
      <c r="A8" s="4"/>
      <c r="B8" s="3"/>
      <c r="C8">
        <f>COUNTIF(Table7[ward_from_turf],$B8)</f>
        <v>0</v>
      </c>
    </row>
    <row r="9" spans="1:3" x14ac:dyDescent="0.2">
      <c r="A9" s="4"/>
      <c r="B9" s="3"/>
      <c r="C9">
        <f>COUNTIF(Table7[ward_from_turf],$B9)</f>
        <v>0</v>
      </c>
    </row>
    <row r="10" spans="1:3" x14ac:dyDescent="0.2">
      <c r="A10" s="4"/>
      <c r="B10" s="3"/>
      <c r="C10">
        <f>COUNTIF(Table7[ward_from_turf],$B10)</f>
        <v>0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F4E58-46A8-FA47-9493-8F221212BA5D}">
  <dimension ref="A1:B4"/>
  <sheetViews>
    <sheetView workbookViewId="0">
      <selection activeCell="A2" sqref="A2"/>
    </sheetView>
  </sheetViews>
  <sheetFormatPr baseColWidth="10" defaultRowHeight="16" x14ac:dyDescent="0.2"/>
  <cols>
    <col min="1" max="1" width="11.6640625" bestFit="1" customWidth="1"/>
    <col min="2" max="2" width="12" bestFit="1" customWidth="1"/>
  </cols>
  <sheetData>
    <row r="1" spans="1:2" x14ac:dyDescent="0.2">
      <c r="A1" s="2" t="s">
        <v>13</v>
      </c>
      <c r="B1" s="2" t="s">
        <v>10</v>
      </c>
    </row>
    <row r="2" spans="1:2" x14ac:dyDescent="0.2">
      <c r="A2" t="s">
        <v>6</v>
      </c>
      <c r="B2" t="s">
        <v>11</v>
      </c>
    </row>
    <row r="3" spans="1:2" x14ac:dyDescent="0.2">
      <c r="A3" t="s">
        <v>8</v>
      </c>
      <c r="B3" t="s">
        <v>11</v>
      </c>
    </row>
    <row r="4" spans="1:2" x14ac:dyDescent="0.2">
      <c r="A4" t="s">
        <v>7</v>
      </c>
      <c r="B4" t="s">
        <v>12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1B43C-1C85-C04B-8FE2-8105D8F0DBDF}">
  <dimension ref="A1:E5"/>
  <sheetViews>
    <sheetView workbookViewId="0">
      <selection activeCell="I35" sqref="I35"/>
    </sheetView>
  </sheetViews>
  <sheetFormatPr baseColWidth="10" defaultRowHeight="16" x14ac:dyDescent="0.2"/>
  <cols>
    <col min="1" max="1" width="9.5" bestFit="1" customWidth="1"/>
    <col min="2" max="2" width="20.1640625" bestFit="1" customWidth="1"/>
    <col min="3" max="3" width="14.83203125" bestFit="1" customWidth="1"/>
    <col min="4" max="4" width="13.83203125" bestFit="1" customWidth="1"/>
    <col min="5" max="5" width="12.83203125" bestFit="1" customWidth="1"/>
  </cols>
  <sheetData>
    <row r="1" spans="1:5" x14ac:dyDescent="0.2">
      <c r="A1" s="10" t="s">
        <v>17</v>
      </c>
      <c r="B1" s="10" t="s">
        <v>14</v>
      </c>
      <c r="C1" s="10" t="s">
        <v>3</v>
      </c>
      <c r="D1" s="10" t="s">
        <v>4</v>
      </c>
      <c r="E1" s="10" t="s">
        <v>5</v>
      </c>
    </row>
    <row r="2" spans="1:5" x14ac:dyDescent="0.2">
      <c r="A2" s="7"/>
      <c r="B2" s="8"/>
      <c r="C2" s="8"/>
      <c r="D2" s="8"/>
      <c r="E2" s="9"/>
    </row>
    <row r="3" spans="1:5" x14ac:dyDescent="0.2">
      <c r="A3" s="7"/>
      <c r="B3" s="8"/>
      <c r="C3" s="8"/>
      <c r="D3" s="8"/>
      <c r="E3" s="9"/>
    </row>
    <row r="4" spans="1:5" x14ac:dyDescent="0.2">
      <c r="A4" s="7"/>
      <c r="B4" s="8"/>
      <c r="C4" s="8"/>
      <c r="D4" s="8"/>
      <c r="E4" s="9"/>
    </row>
    <row r="5" spans="1:5" x14ac:dyDescent="0.2">
      <c r="A5" s="7"/>
      <c r="B5" s="8"/>
      <c r="C5" s="8"/>
      <c r="D5" s="8"/>
      <c r="E5" s="9"/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Fixup</vt:lpstr>
      <vt:lpstr>Prio</vt:lpstr>
      <vt:lpstr>Misname</vt:lpstr>
      <vt:lpstr>Sort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Garrett Low</dc:creator>
  <cp:lastModifiedBy>Garrett Low</cp:lastModifiedBy>
  <dcterms:created xsi:type="dcterms:W3CDTF">2026-07-27T05:01:32Z</dcterms:created>
  <dcterms:modified xsi:type="dcterms:W3CDTF">2026-07-29T23:06:49Z</dcterms:modified>
</cp:coreProperties>
</file>